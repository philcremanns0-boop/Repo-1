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Pipeline" sheetId="2" state="visible" r:id="rId4"/>
    <sheet name="Dashboard" sheetId="3" state="visible" r:id="rId5"/>
    <sheet name="Einstellungen" sheetId="4" state="visible" r:id="rId6"/>
    <sheet name="Rechner" sheetId="5" state="visible" r:id="rId7"/>
    <sheet name="Vorlagen" sheetId="6" state="visible" r:id="rId8"/>
    <sheet name="Zielbranchen" sheetId="7" state="visible" r:id="rId9"/>
    <sheet name="Recht" sheetId="8" state="visible" r:id="rId10"/>
    <sheet name="Mini-Audit" sheetId="9" state="visible" r:id="rId11"/>
  </sheets>
  <definedNames>
    <definedName function="false" hidden="true" localSheetId="1" name="_xlnm._FilterDatabase" vbProcedure="false">Pipeline!$A$1:$R$501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<sst xmlns="http://schemas.openxmlformats.org/spreadsheetml/2006/main" count="245" uniqueCount="221">
  <si>
    <t xml:space="preserve">Outreach-System für NOVEX</t>
  </si>
  <si>
    <t xml:space="preserve">So funktioniert es</t>
  </si>
  <si>
    <t xml:space="preserve">1. Leads in 'Pipeline' eintragen (ChatGPT-Prompt im Ordner prompts liefert die Zeilen). Jede Zeile ist ein Unternehmen.</t>
  </si>
  <si>
    <t xml:space="preserve">2. Vor dem Erstkontakt das 'Mini-Audit' ausfüllen und den stärksten Befund als Aufhänger in Spalte J schreiben.</t>
  </si>
  <si>
    <t xml:space="preserve">3. Status in Spalte K setzen und das Datum des Erstkontakts in Spalte L eintragen. Follow-up-Termine und 'Nächste Aktion' rechnen sich selbst.</t>
  </si>
  <si>
    <t xml:space="preserve">4. 'Dashboard' zeigt Trichter, Quoten und fällige Aktionen. 'Rechner' zeigt, wie viele Kontakte für einen Auftrag nötig sind.</t>
  </si>
  <si>
    <t xml:space="preserve">5. Vor dem ersten Versand 'Recht' lesen. Das ist keine Rechtsberatung, aber hier liegt das größte Risiko.</t>
  </si>
  <si>
    <t xml:space="preserve">Farblegende</t>
  </si>
  <si>
    <t xml:space="preserve">Blaue Schrift = Eingabe oder Annahme, die du ändern darfst. Gelbe Füllung = Beispielzeile oder zentrale Annahme. Schwarz = Formel, nicht überschreiben.</t>
  </si>
  <si>
    <t xml:space="preserve">Die Beispielzeile in 'Pipeline' (Zeile 2) ist ausgedacht. Überschreibe oder lösche sie.</t>
  </si>
  <si>
    <t xml:space="preserve">Alle Zahlen im 'Rechner' sind Platzhalter-Annahmen, keine Messwerte. Ersetze sie nach den ersten 50 Kontakten durch eigene Zahlen.</t>
  </si>
  <si>
    <t xml:space="preserve">ID</t>
  </si>
  <si>
    <t xml:space="preserve">Firma</t>
  </si>
  <si>
    <t xml:space="preserve">Branche</t>
  </si>
  <si>
    <t xml:space="preserve">Stadt</t>
  </si>
  <si>
    <t xml:space="preserve">Website</t>
  </si>
  <si>
    <t xml:space="preserve">Ansprechperson</t>
  </si>
  <si>
    <t xml:space="preserve">Kanal</t>
  </si>
  <si>
    <t xml:space="preserve">Kontakt (Mail, Handle, Telefon)</t>
  </si>
  <si>
    <t xml:space="preserve">Quelle des Leads</t>
  </si>
  <si>
    <t xml:space="preserve">Aufhänger (stärkster Befund aus dem Mini-Audit)</t>
  </si>
  <si>
    <t xml:space="preserve">Status</t>
  </si>
  <si>
    <t xml:space="preserve">Erstkontakt am</t>
  </si>
  <si>
    <t xml:space="preserve">Follow-up 1</t>
  </si>
  <si>
    <t xml:space="preserve">Follow-up 2</t>
  </si>
  <si>
    <t xml:space="preserve">Follow-up 3</t>
  </si>
  <si>
    <t xml:space="preserve">Nächste Aktion</t>
  </si>
  <si>
    <t xml:space="preserve">Angebotswert (EUR)</t>
  </si>
  <si>
    <t xml:space="preserve">Notiz</t>
  </si>
  <si>
    <t xml:space="preserve">BEISPIEL-001</t>
  </si>
  <si>
    <t xml:space="preserve">Autohaus Beispiel GmbH (ausgedacht)</t>
  </si>
  <si>
    <t xml:space="preserve">Autohaus</t>
  </si>
  <si>
    <t xml:space="preserve">Musterstadt</t>
  </si>
  <si>
    <t xml:space="preserve">www.beispiel-autohaus.example</t>
  </si>
  <si>
    <t xml:space="preserve">Frau Muster</t>
  </si>
  <si>
    <t xml:space="preserve">Brief</t>
  </si>
  <si>
    <t xml:space="preserve">Postadresse laut Impressum</t>
  </si>
  <si>
    <t xml:space="preserve">Google Maps</t>
  </si>
  <si>
    <t xml:space="preserve">Auf dem Handy erscheint der Terminlink erst nach dreimal Scrollen.</t>
  </si>
  <si>
    <t xml:space="preserve">Kontaktiert</t>
  </si>
  <si>
    <t xml:space="preserve">Beispielzeile, bitte überschreiben.</t>
  </si>
  <si>
    <t xml:space="preserve">Dashboard</t>
  </si>
  <si>
    <t xml:space="preserve">Anzahl</t>
  </si>
  <si>
    <t xml:space="preserve">Neu</t>
  </si>
  <si>
    <t xml:space="preserve">Recherchiert</t>
  </si>
  <si>
    <t xml:space="preserve">Antwort</t>
  </si>
  <si>
    <t xml:space="preserve">Gespräch</t>
  </si>
  <si>
    <t xml:space="preserve">Angebot</t>
  </si>
  <si>
    <t xml:space="preserve">Gewonnen</t>
  </si>
  <si>
    <t xml:space="preserve">Verloren</t>
  </si>
  <si>
    <t xml:space="preserve">Kein Interesse</t>
  </si>
  <si>
    <t xml:space="preserve">Summe</t>
  </si>
  <si>
    <t xml:space="preserve">Kennzahlen</t>
  </si>
  <si>
    <t xml:space="preserve">Wert</t>
  </si>
  <si>
    <t xml:space="preserve">Kontaktiert (Datum vorhanden)</t>
  </si>
  <si>
    <t xml:space="preserve">Mit Reaktion (Antwort, Gespräch, Angebot, Gewonnen, Kein Interesse)</t>
  </si>
  <si>
    <t xml:space="preserve">Antwortquote</t>
  </si>
  <si>
    <t xml:space="preserve">Aufträge gewonnen</t>
  </si>
  <si>
    <t xml:space="preserve">Gewinnquote (Gewonnen / Kontaktiert)</t>
  </si>
  <si>
    <t xml:space="preserve">Offene Angebote (EUR)</t>
  </si>
  <si>
    <t xml:space="preserve">Gewonnener Wert (EUR)</t>
  </si>
  <si>
    <t xml:space="preserve">Fällige Aktionen heute</t>
  </si>
  <si>
    <t xml:space="preserve">Hinweis: Die Beispielzeile in der Pipeline zählt mit, bis du sie löschst.</t>
  </si>
  <si>
    <t xml:space="preserve">Einstellungen</t>
  </si>
  <si>
    <t xml:space="preserve">Follow-up 1 nach (Tagen)</t>
  </si>
  <si>
    <t xml:space="preserve">Follow-up 2 nach (Tagen)</t>
  </si>
  <si>
    <t xml:space="preserve">Telefon (nach Einwilligung)</t>
  </si>
  <si>
    <t xml:space="preserve">Follow-up 3 nach (Tagen)</t>
  </si>
  <si>
    <t xml:space="preserve">E-Mail (nach Einwilligung)</t>
  </si>
  <si>
    <t xml:space="preserve">Annahme: Abstände 3/7/14 Tage sind eine übliche Praxis, kein Messwert. Gilt für alle Zeilen.</t>
  </si>
  <si>
    <t xml:space="preserve">Instagram-DM (nach Einwilligung)</t>
  </si>
  <si>
    <t xml:space="preserve">LinkedIn</t>
  </si>
  <si>
    <t xml:space="preserve">Persönlich vor Ort</t>
  </si>
  <si>
    <t xml:space="preserve">Empfehlung</t>
  </si>
  <si>
    <t xml:space="preserve">Anfrage von ihnen (Inbound)</t>
  </si>
  <si>
    <t xml:space="preserve">Wie viele Kontakte brauche ich für einen Auftrag?</t>
  </si>
  <si>
    <t xml:space="preserve">Alle gelben Werte sind Platzhalter-Annahmen von mir, keine Messwerte. Nach den ersten 50 Kontakten durch eigene Zahlen aus dem Dashboard ersetzen.</t>
  </si>
  <si>
    <t xml:space="preserve">Annahme</t>
  </si>
  <si>
    <t xml:space="preserve">Kontakte pro Woche</t>
  </si>
  <si>
    <t xml:space="preserve">Anteil Antwort, der zum Gespräch wird</t>
  </si>
  <si>
    <t xml:space="preserve">Anteil Gespräch, der zum Angebot wird</t>
  </si>
  <si>
    <t xml:space="preserve">Anteil Angebot, der zum Auftrag wird</t>
  </si>
  <si>
    <t xml:space="preserve">Durchschnittlicher Auftragswert (EUR)</t>
  </si>
  <si>
    <t xml:space="preserve">Ergebnis</t>
  </si>
  <si>
    <t xml:space="preserve">Anteil der Kontakte, die zum Auftrag werden</t>
  </si>
  <si>
    <t xml:space="preserve">Kontakte nötig für einen Auftrag</t>
  </si>
  <si>
    <t xml:space="preserve">Aufträge pro Woche</t>
  </si>
  <si>
    <t xml:space="preserve">Wochen bis zum ersten Auftrag</t>
  </si>
  <si>
    <t xml:space="preserve">Umsatz pro Monat (EUR, 4,33 Wochen)</t>
  </si>
  <si>
    <t xml:space="preserve">Vorlagen (Deutsch, Sie-Form)</t>
  </si>
  <si>
    <t xml:space="preserve">Platzhalter in eckigen Klammern ersetzen. Jede Nachricht braucht einen konkreten Befund aus dem Mini-Audit. Ohne Befund nicht senden.</t>
  </si>
  <si>
    <t xml:space="preserve">Vorlage</t>
  </si>
  <si>
    <t xml:space="preserve">Text</t>
  </si>
  <si>
    <t xml:space="preserve">1 · Erstkontakt per Brief</t>
  </si>
  <si>
    <t xml:space="preserve">Guten Tag [Name],
bei der Suche nach [Branche] in [Stadt] bin ich auf Ihre Website gestoßen. Mir ist aufgefallen: [konkreter Befund, z. B. auf dem Handy ist der Terminweg erst nach langem Scrollen zu finden].
Ich gestalte Websites für [Branche] und habe dazu eine kleine Skizze vorbereitet, wie das bei Ihnen aussehen könnte: [Link oder QR-Code zum Entwurf]. Sie müssen nichts tun. Wenn Sie sich das ansehen möchten, freue ich mich über eine kurze Nachricht an [Kontakt].
Freundliche Grüße
Phil [Nachname], NOVEX
[Anschrift laut Impressum] · [Telefon] · [E-Mail]</t>
  </si>
  <si>
    <t xml:space="preserve">2 · Erstkontakt nach Einwilligung (E-Mail oder DM)</t>
  </si>
  <si>
    <t xml:space="preserve">E-Mail / DM</t>
  </si>
  <si>
    <t xml:space="preserve">Betreff: [Befund in fünf Wörtern], [Firma]
Guten Tag [Name],
Sie hatten mir erlaubt, mich zu melden. Beim Blick auf Ihre Seite ist mir [konkreter Befund] aufgefallen. Das kostet erfahrungsgemäß Anfragen, weil [kurzer Grund].
Ich habe einen Entwurf gebaut, der das anders löst: [Link]. Wollen Sie 15 Minuten darüber sprechen, [Wochentag] oder [Wochentag]?
Viele Grüße
Phil, NOVEX</t>
  </si>
  <si>
    <t xml:space="preserve">3 · Follow-up 1 (nach 3 Tagen)</t>
  </si>
  <si>
    <t xml:space="preserve">Alle</t>
  </si>
  <si>
    <t xml:space="preserve">Guten Tag [Name], ich wollte nur sichergehen, dass meine Nachricht von [Datum] angekommen ist. Der Entwurf liegt hier: [Link]. Falls das Thema gerade nicht passt, genügt ein kurzes Wort, dann melde ich mich nicht mehr.</t>
  </si>
  <si>
    <t xml:space="preserve">4 · Follow-up 2 (nach 7 Tagen, mit Mehrwert)</t>
  </si>
  <si>
    <t xml:space="preserve">Guten Tag [Name], eine Sache noch, die Sie auch ohne mich umsetzen können: [ein konkreter, kostenloser Tipp zur Seite, z. B. Terminlink im Header fest platzieren]. Falls Sie mehr dazu wollen, bin ich erreichbar unter [Kontakt].</t>
  </si>
  <si>
    <t xml:space="preserve">5 · Follow-up 3 (nach 14 Tagen, Abschluss)</t>
  </si>
  <si>
    <t xml:space="preserve">Guten Tag [Name], ich schließe das Thema bei mir ab, damit ich Sie nicht weiter störe. Der Entwurf bleibt bis [Datum] unter [Link] erreichbar. Alles Gute für [Firma].</t>
  </si>
  <si>
    <t xml:space="preserve">6 · Telefonleitfaden (nur nach Einwilligung oder Rückruf)</t>
  </si>
  <si>
    <t xml:space="preserve">Telefon</t>
  </si>
  <si>
    <t xml:space="preserve">1. Name, Firma, Grund in einem Satz.
2. Frage: 'Haben Sie zwei Minuten?' Bei Nein sofort beenden und Terminvorschlag.
3. Befund nennen, eine Frage stellen: 'Wie kommen die meisten Patienten/Kunden heute zu Ihnen?'
4. Zuhören, mitschreiben, nicht verkaufen.
5. Nächsten Schritt festlegen: Entwurf zeigen, Termin, Kontakt.
6. Danach sofort Notiz in die Pipeline.</t>
  </si>
  <si>
    <t xml:space="preserve">7 · Antwort auf 'Kein Interesse'</t>
  </si>
  <si>
    <t xml:space="preserve">Danke für die klare Antwort, [Name]. Ich nehme Sie aus meiner Liste und melde mich nicht mehr. Falls sich die Lage ändert, wissen Sie, wo Sie mich finden.</t>
  </si>
  <si>
    <t xml:space="preserve">8 · Nach dem Erstgespräch</t>
  </si>
  <si>
    <t xml:space="preserve">E-Mail</t>
  </si>
  <si>
    <t xml:space="preserve">Guten Tag [Name], danke für das Gespräch. Kurz zusammengefasst: Ziel ist [Ziel], wichtigste Aktion auf der Seite ist [Aktion], Zeitrahmen [Zeitraum]. Ich schicke Ihnen bis [Datum] ein schriftliches Angebot mit Konzeptskizze. Offene Punkte von Ihnen: [Fotos, Logo, Zugänge].</t>
  </si>
  <si>
    <t xml:space="preserve">Zielbranchen (meine Einschätzung, nicht gemessen)</t>
  </si>
  <si>
    <t xml:space="preserve">Priorität</t>
  </si>
  <si>
    <t xml:space="preserve">Warum sie passt</t>
  </si>
  <si>
    <t xml:space="preserve">Typische Schwäche der Websites</t>
  </si>
  <si>
    <t xml:space="preserve">Suchbegriff (Google Maps)</t>
  </si>
  <si>
    <t xml:space="preserve">Referenz, die du zeigen kannst</t>
  </si>
  <si>
    <t xml:space="preserve">Zahnärzte und Arztpraxen</t>
  </si>
  <si>
    <t xml:space="preserve">Hoher Kundenwert, Erstkontakt über Website entscheidet, Patienten vergleichen vor dem Anruf.</t>
  </si>
  <si>
    <t xml:space="preserve">Stockfotos, schwerer Terminweg, schlechte Mobilansicht.</t>
  </si>
  <si>
    <t xml:space="preserve">Zahnarzt [Stadt]</t>
  </si>
  <si>
    <t xml:space="preserve">Zahnarzt-Konzept (drei Stilrichtungen)</t>
  </si>
  <si>
    <t xml:space="preserve">Autohäuser und Gebrauchtwagenhändler</t>
  </si>
  <si>
    <t xml:space="preserve">Hoher Warenwert, Bestand lässt sich inszenieren, du hast ein 3D-Projekt als Referenz.</t>
  </si>
  <si>
    <t xml:space="preserve">Bestandsliste aus Plugins, kaum Marke, langsame Seiten.</t>
  </si>
  <si>
    <t xml:space="preserve">Autohaus [Stadt]</t>
  </si>
  <si>
    <t xml:space="preserve">Autofabrik-Website</t>
  </si>
  <si>
    <t xml:space="preserve">Handwerk (Dachdecker, SHK, Elektro, Schreiner)</t>
  </si>
  <si>
    <t xml:space="preserve">Viel Nachfrage über Google, wenige gute Seiten, klares Ziel: Anruf.</t>
  </si>
  <si>
    <t xml:space="preserve">Kein Einzugsgebiet, keine Referenzfotos, Telefon schwer zu finden.</t>
  </si>
  <si>
    <t xml:space="preserve">Dachdecker [Stadt]</t>
  </si>
  <si>
    <t xml:space="preserve">Vorher/Nachher-Slider-Konzept</t>
  </si>
  <si>
    <t xml:space="preserve">Kanzleien und Steuerberater</t>
  </si>
  <si>
    <t xml:space="preserve">Autorität zählt, Budget vorhanden, Texte meist vorhanden.</t>
  </si>
  <si>
    <t xml:space="preserve">Austauschbar, kein Gesicht, wenig Klarheit.</t>
  </si>
  <si>
    <t xml:space="preserve">Steuerberater [Stadt]</t>
  </si>
  <si>
    <t xml:space="preserve">Typo-first Konzept</t>
  </si>
  <si>
    <t xml:space="preserve">Architekturbüros</t>
  </si>
  <si>
    <t xml:space="preserve">Design-Verständnis vorhanden, Portfolio ist das Produkt.</t>
  </si>
  <si>
    <t xml:space="preserve">Templates, kleine Bilder, schlechte Projektseiten.</t>
  </si>
  <si>
    <t xml:space="preserve">Architekturbüro [Stadt]</t>
  </si>
  <si>
    <t xml:space="preserve">Projektindex-Konzept</t>
  </si>
  <si>
    <t xml:space="preserve">Cafés und Gastronomie</t>
  </si>
  <si>
    <t xml:space="preserve">Schnelle Entscheidungen, aber kleines Budget.</t>
  </si>
  <si>
    <t xml:space="preserve">Speisekarte als PDF, Öffnungszeiten veraltet.</t>
  </si>
  <si>
    <t xml:space="preserve">Café [Stadt]</t>
  </si>
  <si>
    <t xml:space="preserve">Café-Konzept</t>
  </si>
  <si>
    <t xml:space="preserve">Physiotherapie, Fitness, Kosmetik</t>
  </si>
  <si>
    <t xml:space="preserve">Terminbasiert, viel Konkurrenz, Social Media vorhanden.</t>
  </si>
  <si>
    <t xml:space="preserve">Buchung versteckt, Bildsprache uneinheitlich.</t>
  </si>
  <si>
    <t xml:space="preserve">Physiotherapie [Stadt]</t>
  </si>
  <si>
    <t xml:space="preserve">Terminfluss-Konzept</t>
  </si>
  <si>
    <t xml:space="preserve">Medienagenturen wie Nocieling Media</t>
  </si>
  <si>
    <t xml:space="preserve">Marke ist das Produkt, Auftrag liegt vor.</t>
  </si>
  <si>
    <t xml:space="preserve">Abhängig vom Kunden, siehe Briefing.</t>
  </si>
  <si>
    <t xml:space="preserve">Social Media Agentur [Stadt]</t>
  </si>
  <si>
    <t xml:space="preserve">Nocieling-Website (sobald fertig)</t>
  </si>
  <si>
    <t xml:space="preserve">Priorität 1 zuerst bearbeiten, weil du dort bereits Referenzen hast. Die Einschätzung beruht auf deinen Angaben und allgemeinem Wissen, nicht auf Marktdaten.</t>
  </si>
  <si>
    <t xml:space="preserve">Recht und Risiko bei der Kaltakquise (keine Rechtsberatung)</t>
  </si>
  <si>
    <t xml:space="preserve">Stand meines Wissens. Vor dem ersten Versand von einer Fachperson (IHK-Beratung, Rechtsanwalt für Wettbewerbsrecht) prüfen lassen.</t>
  </si>
  <si>
    <t xml:space="preserve">Thema</t>
  </si>
  <si>
    <t xml:space="preserve">Einschätzung</t>
  </si>
  <si>
    <t xml:space="preserve">Was du stattdessen tust</t>
  </si>
  <si>
    <t xml:space="preserve">E-Mail an Unternehmen</t>
  </si>
  <si>
    <t xml:space="preserve">Werbe-E-Mails ohne vorherige ausdrückliche Einwilligung sind in Deutschland nach dem UWG grundsätzlich unzulässig, auch im B2B. Eine Adresse aus dem Impressum ist keine Einwilligung. Die enge Ausnahme in § 7 Abs. 3 UWG betrifft Bestandskunden, nicht Kaltkontakte. Abmahnungen sind möglich.</t>
  </si>
  <si>
    <t xml:space="preserve">Erstkontakt nicht per E-Mail. E-Mail nur nach Einwilligung oder wenn die Firma zuerst schreibt.</t>
  </si>
  <si>
    <t xml:space="preserve">Telefon an Unternehmer</t>
  </si>
  <si>
    <t xml:space="preserve">Setzt mindestens eine mutmaßliche Einwilligung voraus. Das ist eng auszulegen.</t>
  </si>
  <si>
    <t xml:space="preserve">Anruf nach vorherigem Kontakt oder auf Empfehlung. Kein Massen-Calling.</t>
  </si>
  <si>
    <t xml:space="preserve">Direktnachrichten (Instagram, LinkedIn)</t>
  </si>
  <si>
    <t xml:space="preserve">Werden meist wie elektronische Post behandelt, also wie E-Mail.</t>
  </si>
  <si>
    <t xml:space="preserve">Erst öffentlich Mehrwert bieten und Beziehung aufbauen. Direkt-Pitch nur nach Antwort.</t>
  </si>
  <si>
    <t xml:space="preserve">Brief per Post</t>
  </si>
  <si>
    <t xml:space="preserve">Gilt als der risikoärmste Weg, solange du Widersprüche sofort respektierst und deine Absenderdaten vollständig sind.</t>
  </si>
  <si>
    <t xml:space="preserve">Persönlicher Brief mit QR-Code zum Entwurf. Standardkanal für den Start.</t>
  </si>
  <si>
    <t xml:space="preserve">Besuch ist unkritischer, solange niemand abgewiesen wird.</t>
  </si>
  <si>
    <t xml:space="preserve">Visitenkarte plus Skizze auf Tablet. Passt besonders für Handwerk und Gastronomie.</t>
  </si>
  <si>
    <t xml:space="preserve">Datenschutz (DSGVO)</t>
  </si>
  <si>
    <t xml:space="preserve">Nur Daten speichern, die du brauchst. Quelle und Datum notieren. Auf Verlangen löschen.</t>
  </si>
  <si>
    <t xml:space="preserve">Spalte 'Quelle' pflegen. Sperrliste führen für alle, die 'kein Interesse' sagten.</t>
  </si>
  <si>
    <t xml:space="preserve">Absenderangaben</t>
  </si>
  <si>
    <t xml:space="preserve">Jede geschäftliche Nachricht braucht vollständige Absenderangaben wie im Impressum.</t>
  </si>
  <si>
    <t xml:space="preserve">Signatur-Baustein aus der Vorlage 1 verwenden.</t>
  </si>
  <si>
    <t xml:space="preserve">Inbound</t>
  </si>
  <si>
    <t xml:space="preserve">Wer von sich aus schreibt, ist kein Kaltkontakt.</t>
  </si>
  <si>
    <t xml:space="preserve">Referenzen auf der NOVEX-Website, Social Content, Empfehlungen. Langfristig der beste Kanal.</t>
  </si>
  <si>
    <t xml:space="preserve">Mini-Audit pro Lead (10 Minuten)</t>
  </si>
  <si>
    <t xml:space="preserve">Pro Zeile 0 = schwach, 1 = okay, 2 = stark. Der niedrigste Wert liefert den Aufhänger für die Nachricht.</t>
  </si>
  <si>
    <t xml:space="preserve">Firma:</t>
  </si>
  <si>
    <t xml:space="preserve">Beispiel Autohaus (ausgedacht)</t>
  </si>
  <si>
    <t xml:space="preserve">Prüfpunkt</t>
  </si>
  <si>
    <t xml:space="preserve">Wo prüfen</t>
  </si>
  <si>
    <t xml:space="preserve">Punkte 0–2</t>
  </si>
  <si>
    <t xml:space="preserve">Befund in einem Satz</t>
  </si>
  <si>
    <t xml:space="preserve">Handy: Seite lädt in unter 3 Sekunden</t>
  </si>
  <si>
    <t xml:space="preserve">Handy im Mobilfunk, nicht WLAN</t>
  </si>
  <si>
    <t xml:space="preserve">Erster Bildschirm sagt klar, was und für wen</t>
  </si>
  <si>
    <t xml:space="preserve">Startseite ohne Scrollen</t>
  </si>
  <si>
    <t xml:space="preserve">Terminweg oder Telefon ohne Suchen sichtbar</t>
  </si>
  <si>
    <t xml:space="preserve">Handy-Ansicht</t>
  </si>
  <si>
    <t xml:space="preserve">(Beispiel) Terminlink fehlt auf dem Handy.</t>
  </si>
  <si>
    <t xml:space="preserve">Echte Fotos von Team und Räumen</t>
  </si>
  <si>
    <t xml:space="preserve">Startseite, Über uns</t>
  </si>
  <si>
    <t xml:space="preserve">Schrift gut lesbar, klare Hierarchie</t>
  </si>
  <si>
    <t xml:space="preserve">Alle Seiten</t>
  </si>
  <si>
    <t xml:space="preserve">Vertrauenselemente (Bewertungen, Kammer, Zahlen)</t>
  </si>
  <si>
    <t xml:space="preserve">Startseite, Footer</t>
  </si>
  <si>
    <t xml:space="preserve">Impressum und Datenschutz vollständig</t>
  </si>
  <si>
    <t xml:space="preserve">Footer</t>
  </si>
  <si>
    <t xml:space="preserve">Sprechender Seitentitel und Überschrift</t>
  </si>
  <si>
    <t xml:space="preserve">Browser-Tab, Quelltext</t>
  </si>
  <si>
    <t xml:space="preserve">Kontraste und Tastaturbedienung</t>
  </si>
  <si>
    <t xml:space="preserve">Tab-Taste, Kontrastprüfer</t>
  </si>
  <si>
    <t xml:space="preserve">Aktualität (Jahreszahl, tote Links, alte Hinweise)</t>
  </si>
  <si>
    <t xml:space="preserve">Footer, Blog, Aktionen</t>
  </si>
  <si>
    <t xml:space="preserve">Summe (max. 20)</t>
  </si>
  <si>
    <t xml:space="preserve">Eindruck</t>
  </si>
  <si>
    <t xml:space="preserve">Schwächster Punkt (erste Fundstelle)</t>
  </si>
  <si>
    <t xml:space="preserve">Die Beispielwerte in Gelb sind ausgedacht. Überschreibe sie für jeden Lead. Eine Kopie des Blattes pro Lead anlegen oder die Ergebnisse in Pipeline Spalte J übertragen.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</si>
</sst>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.mm\.yyyy"/>
    <numFmt numFmtId="166" formatCode="#,##0;\(#,##0\);\-"/>
    <numFmt numFmtId="167" formatCode="0"/>
    <numFmt numFmtId="168" formatCode="0.0%"/>
    <numFmt numFmtId="169" formatCode="#,##0"/>
    <numFmt numFmtId="170" formatCode="0.00%"/>
    <numFmt numFmtId="171" formatCode="0.00"/>
    <numFmt numFmtId="172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24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C4"/>
      </left>
      <right style="thin">
        <color rgb="FFC8CEC4"/>
      </right>
      <top style="thin">
        <color rgb="FFC8CEC4"/>
      </top>
      <bottom style="thin">
        <color rgb="FFC8CE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A2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D6D0"/>
          <bgColor rgb="FF000000"/>
        </patternFill>
      </fill>
    </dxf>
    <dxf>
      <fill>
        <patternFill patternType="solid">
          <fgColor rgb="FF9C1C0C"/>
          <bgColor rgb="FF000000"/>
        </patternFill>
      </fill>
    </dxf>
    <dxf>
      <font>
        <name val="Arial"/>
        <charset val="1"/>
        <family val="0"/>
        <b val="1"/>
        <color rgb="FF9C1C0C"/>
        <sz val="10"/>
      </font>
      <fill>
        <patternFill>
          <bgColor rgb="FFFFD6D0"/>
        </patternFill>
      </fill>
    </dxf>
    <dxf>
      <fill>
        <patternFill>
          <bgColor rgb="FFD5EBC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BCF"/>
      <rgbColor rgb="FFFFFF99"/>
      <rgbColor rgb="FF99CCFF"/>
      <rgbColor rgb="FFFF99CC"/>
      <rgbColor rgb="FFCC99FF"/>
      <rgbColor rgb="FFFFD6D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1C0C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4" t="s">
        <v>6</v>
      </c>
    </row>
    <row r="9" customFormat="false" ht="15" hidden="false" customHeight="true" outlineLevel="0" collapsed="false">
      <c r="A9" s="4"/>
    </row>
    <row r="10" customFormat="false" ht="15" hidden="false" customHeight="true" outlineLevel="0" collapsed="false">
      <c r="A10" s="3" t="s">
        <v>7</v>
      </c>
    </row>
    <row r="11" customFormat="false" ht="23.2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6"/>
    <col collapsed="false" customWidth="true" hidden="false" outlineLevel="0" max="6" min="6" style="1" width="18"/>
    <col collapsed="false" customWidth="true" hidden="false" outlineLevel="0" max="8" min="7" style="1" width="26"/>
    <col collapsed="false" customWidth="true" hidden="false" outlineLevel="0" max="9" min="9" style="1" width="16"/>
    <col collapsed="false" customWidth="true" hidden="false" outlineLevel="0" max="10" min="10" style="1" width="44"/>
    <col collapsed="false" customWidth="true" hidden="false" outlineLevel="0" max="12" min="11" style="1" width="14"/>
    <col collapsed="false" customWidth="true" hidden="false" outlineLevel="0" max="15" min="13" style="1" width="13"/>
    <col collapsed="false" customWidth="true" hidden="false" outlineLevel="0" max="16" min="16" style="1" width="22"/>
    <col collapsed="false" customWidth="true" hidden="false" outlineLevel="0" max="17" min="17" style="1" width="14"/>
    <col collapsed="false" customWidth="true" hidden="false" outlineLevel="0" max="18" min="18" style="1" width="30"/>
  </cols>
  <sheetData>
    <row r="1" customFormat="false" ht="42" hidden="false" customHeight="tru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</row>
    <row r="2" customFormat="false" ht="23.25" hidden="false" customHeight="true" outlineLevel="0" collapsed="false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7" t="s">
        <v>38</v>
      </c>
      <c r="K2" s="6" t="s">
        <v>39</v>
      </c>
      <c r="L2" s="8" t="n">
        <v>46308</v>
      </c>
      <c r="M2" s="9" t="n">
        <f aca="false">IF($L2="","",$L2+Einstellungen!$B$3)</f>
        <v>46311</v>
      </c>
      <c r="N2" s="9" t="n">
        <f aca="false">IF($L2="","",$L2+Einstellungen!$B$4)</f>
        <v>46315</v>
      </c>
      <c r="O2" s="9" t="n">
        <f aca="false">IF($L2="","",$L2+Einstellungen!$B$5)</f>
        <v>46322</v>
      </c>
      <c r="P2" s="10" t="str">
        <f aca="true">IF($B2="","",IF(OR($K2="Gewonnen",$K2="Verloren",$K2="Kein Interesse"),"abgeschlossen",IF(OR($K2="Neu",$K2="Recherchiert",$K2=""),"Erstkontakt vorbereiten",IF($K2="Kontaktiert",IF($L2="","Datum eintragen",IF(TODAY()&gt;=$O2,"Follow-up 3 fällig",IF(TODAY()&gt;=$N2,"Follow-up 2 fällig",IF(TODAY()&gt;=$M2,"Follow-up 1 fällig","warten")))),IF($K2="Antwort","Antworten",IF($K2="Gespräch","Nachbereiten",IF($K2="Angebot","Angebot nachfassen","")))))))</f>
        <v>Follow-up 1 fällig</v>
      </c>
      <c r="Q2" s="11" t="n">
        <v>2500</v>
      </c>
      <c r="R2" s="7" t="s">
        <v>40</v>
      </c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3"/>
      <c r="K3" s="12"/>
      <c r="L3" s="14"/>
      <c r="M3" s="15" t="str">
        <f aca="false">IF($L3="","",$L3+Einstellungen!$B$3)</f>
        <v/>
      </c>
      <c r="N3" s="15" t="str">
        <f aca="false">IF($L3="","",$L3+Einstellungen!$B$4)</f>
        <v/>
      </c>
      <c r="O3" s="15" t="str">
        <f aca="false">IF($L3="","",$L3+Einstellungen!$B$5)</f>
        <v/>
      </c>
      <c r="P3" s="16" t="str">
        <f aca="true">IF($B3="","",IF(OR($K3="Gewonnen",$K3="Verloren",$K3="Kein Interesse"),"abgeschlossen",IF(OR($K3="Neu",$K3="Recherchiert",$K3=""),"Erstkontakt vorbereiten",IF($K3="Kontaktiert",IF($L3="","Datum eintragen",IF(TODAY()&gt;=$O3,"Follow-up 3 fällig",IF(TODAY()&gt;=$N3,"Follow-up 2 fällig",IF(TODAY()&gt;=$M3,"Follow-up 1 fällig","warten")))),IF($K3="Antwort","Antworten",IF($K3="Gespräch","Nachbereiten",IF($K3="Angebot","Angebot nachfassen","")))))))</f>
        <v/>
      </c>
      <c r="Q3" s="17"/>
      <c r="R3" s="13"/>
    </row>
    <row r="4" customFormat="false" ht="1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3"/>
      <c r="K4" s="12"/>
      <c r="L4" s="14"/>
      <c r="M4" s="15" t="str">
        <f aca="false">IF($L4="","",$L4+Einstellungen!$B$3)</f>
        <v/>
      </c>
      <c r="N4" s="15" t="str">
        <f aca="false">IF($L4="","",$L4+Einstellungen!$B$4)</f>
        <v/>
      </c>
      <c r="O4" s="15" t="str">
        <f aca="false">IF($L4="","",$L4+Einstellungen!$B$5)</f>
        <v/>
      </c>
      <c r="P4" s="16" t="str">
        <f aca="true">IF($B4="","",IF(OR($K4="Gewonnen",$K4="Verloren",$K4="Kein Interesse"),"abgeschlossen",IF(OR($K4="Neu",$K4="Recherchiert",$K4=""),"Erstkontakt vorbereiten",IF($K4="Kontaktiert",IF($L4="","Datum eintragen",IF(TODAY()&gt;=$O4,"Follow-up 3 fällig",IF(TODAY()&gt;=$N4,"Follow-up 2 fällig",IF(TODAY()&gt;=$M4,"Follow-up 1 fällig","warten")))),IF($K4="Antwort","Antworten",IF($K4="Gespräch","Nachbereiten",IF($K4="Angebot","Angebot nachfassen","")))))))</f>
        <v/>
      </c>
      <c r="Q4" s="17"/>
      <c r="R4" s="13"/>
    </row>
    <row r="5" customFormat="false" ht="15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3"/>
      <c r="K5" s="12"/>
      <c r="L5" s="14"/>
      <c r="M5" s="15" t="str">
        <f aca="false">IF($L5="","",$L5+Einstellungen!$B$3)</f>
        <v/>
      </c>
      <c r="N5" s="15" t="str">
        <f aca="false">IF($L5="","",$L5+Einstellungen!$B$4)</f>
        <v/>
      </c>
      <c r="O5" s="15" t="str">
        <f aca="false">IF($L5="","",$L5+Einstellungen!$B$5)</f>
        <v/>
      </c>
      <c r="P5" s="16" t="str">
        <f aca="true">IF($B5="","",IF(OR($K5="Gewonnen",$K5="Verloren",$K5="Kein Interesse"),"abgeschlossen",IF(OR($K5="Neu",$K5="Recherchiert",$K5=""),"Erstkontakt vorbereiten",IF($K5="Kontaktiert",IF($L5="","Datum eintragen",IF(TODAY()&gt;=$O5,"Follow-up 3 fällig",IF(TODAY()&gt;=$N5,"Follow-up 2 fällig",IF(TODAY()&gt;=$M5,"Follow-up 1 fällig","warten")))),IF($K5="Antwort","Antworten",IF($K5="Gespräch","Nachbereiten",IF($K5="Angebot","Angebot nachfassen","")))))))</f>
        <v/>
      </c>
      <c r="Q5" s="17"/>
      <c r="R5" s="13"/>
    </row>
    <row r="6" customFormat="false" ht="15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3"/>
      <c r="K6" s="12"/>
      <c r="L6" s="14"/>
      <c r="M6" s="15" t="str">
        <f aca="false">IF($L6="","",$L6+Einstellungen!$B$3)</f>
        <v/>
      </c>
      <c r="N6" s="15" t="str">
        <f aca="false">IF($L6="","",$L6+Einstellungen!$B$4)</f>
        <v/>
      </c>
      <c r="O6" s="15" t="str">
        <f aca="false">IF($L6="","",$L6+Einstellungen!$B$5)</f>
        <v/>
      </c>
      <c r="P6" s="16" t="str">
        <f aca="true">IF($B6="","",IF(OR($K6="Gewonnen",$K6="Verloren",$K6="Kein Interesse"),"abgeschlossen",IF(OR($K6="Neu",$K6="Recherchiert",$K6=""),"Erstkontakt vorbereiten",IF($K6="Kontaktiert",IF($L6="","Datum eintragen",IF(TODAY()&gt;=$O6,"Follow-up 3 fällig",IF(TODAY()&gt;=$N6,"Follow-up 2 fällig",IF(TODAY()&gt;=$M6,"Follow-up 1 fällig","warten")))),IF($K6="Antwort","Antworten",IF($K6="Gespräch","Nachbereiten",IF($K6="Angebot","Angebot nachfassen","")))))))</f>
        <v/>
      </c>
      <c r="Q6" s="17"/>
      <c r="R6" s="13"/>
    </row>
    <row r="7" customFormat="false" ht="15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3"/>
      <c r="K7" s="12"/>
      <c r="L7" s="14"/>
      <c r="M7" s="15" t="str">
        <f aca="false">IF($L7="","",$L7+Einstellungen!$B$3)</f>
        <v/>
      </c>
      <c r="N7" s="15" t="str">
        <f aca="false">IF($L7="","",$L7+Einstellungen!$B$4)</f>
        <v/>
      </c>
      <c r="O7" s="15" t="str">
        <f aca="false">IF($L7="","",$L7+Einstellungen!$B$5)</f>
        <v/>
      </c>
      <c r="P7" s="16" t="str">
        <f aca="true">IF($B7="","",IF(OR($K7="Gewonnen",$K7="Verloren",$K7="Kein Interesse"),"abgeschlossen",IF(OR($K7="Neu",$K7="Recherchiert",$K7=""),"Erstkontakt vorbereiten",IF($K7="Kontaktiert",IF($L7="","Datum eintragen",IF(TODAY()&gt;=$O7,"Follow-up 3 fällig",IF(TODAY()&gt;=$N7,"Follow-up 2 fällig",IF(TODAY()&gt;=$M7,"Follow-up 1 fällig","warten")))),IF($K7="Antwort","Antworten",IF($K7="Gespräch","Nachbereiten",IF($K7="Angebot","Angebot nachfassen","")))))))</f>
        <v/>
      </c>
      <c r="Q7" s="17"/>
      <c r="R7" s="13"/>
    </row>
    <row r="8" customFormat="false" ht="15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3"/>
      <c r="K8" s="12"/>
      <c r="L8" s="14"/>
      <c r="M8" s="15" t="str">
        <f aca="false">IF($L8="","",$L8+Einstellungen!$B$3)</f>
        <v/>
      </c>
      <c r="N8" s="15" t="str">
        <f aca="false">IF($L8="","",$L8+Einstellungen!$B$4)</f>
        <v/>
      </c>
      <c r="O8" s="15" t="str">
        <f aca="false">IF($L8="","",$L8+Einstellungen!$B$5)</f>
        <v/>
      </c>
      <c r="P8" s="16" t="str">
        <f aca="true">IF($B8="","",IF(OR($K8="Gewonnen",$K8="Verloren",$K8="Kein Interesse"),"abgeschlossen",IF(OR($K8="Neu",$K8="Recherchiert",$K8=""),"Erstkontakt vorbereiten",IF($K8="Kontaktiert",IF($L8="","Datum eintragen",IF(TODAY()&gt;=$O8,"Follow-up 3 fällig",IF(TODAY()&gt;=$N8,"Follow-up 2 fällig",IF(TODAY()&gt;=$M8,"Follow-up 1 fällig","warten")))),IF($K8="Antwort","Antworten",IF($K8="Gespräch","Nachbereiten",IF($K8="Angebot","Angebot nachfassen","")))))))</f>
        <v/>
      </c>
      <c r="Q8" s="17"/>
      <c r="R8" s="13"/>
    </row>
    <row r="9" customFormat="false" ht="15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3"/>
      <c r="K9" s="12"/>
      <c r="L9" s="14"/>
      <c r="M9" s="15" t="str">
        <f aca="false">IF($L9="","",$L9+Einstellungen!$B$3)</f>
        <v/>
      </c>
      <c r="N9" s="15" t="str">
        <f aca="false">IF($L9="","",$L9+Einstellungen!$B$4)</f>
        <v/>
      </c>
      <c r="O9" s="15" t="str">
        <f aca="false">IF($L9="","",$L9+Einstellungen!$B$5)</f>
        <v/>
      </c>
      <c r="P9" s="16" t="str">
        <f aca="true">IF($B9="","",IF(OR($K9="Gewonnen",$K9="Verloren",$K9="Kein Interesse"),"abgeschlossen",IF(OR($K9="Neu",$K9="Recherchiert",$K9=""),"Erstkontakt vorbereiten",IF($K9="Kontaktiert",IF($L9="","Datum eintragen",IF(TODAY()&gt;=$O9,"Follow-up 3 fällig",IF(TODAY()&gt;=$N9,"Follow-up 2 fällig",IF(TODAY()&gt;=$M9,"Follow-up 1 fällig","warten")))),IF($K9="Antwort","Antworten",IF($K9="Gespräch","Nachbereiten",IF($K9="Angebot","Angebot nachfassen","")))))))</f>
        <v/>
      </c>
      <c r="Q9" s="17"/>
      <c r="R9" s="13"/>
    </row>
    <row r="10" customFormat="false" ht="1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3"/>
      <c r="K10" s="12"/>
      <c r="L10" s="14"/>
      <c r="M10" s="15" t="str">
        <f aca="false">IF($L10="","",$L10+Einstellungen!$B$3)</f>
        <v/>
      </c>
      <c r="N10" s="15" t="str">
        <f aca="false">IF($L10="","",$L10+Einstellungen!$B$4)</f>
        <v/>
      </c>
      <c r="O10" s="15" t="str">
        <f aca="false">IF($L10="","",$L10+Einstellungen!$B$5)</f>
        <v/>
      </c>
      <c r="P10" s="16" t="str">
        <f aca="true">IF($B10="","",IF(OR($K10="Gewonnen",$K10="Verloren",$K10="Kein Interesse"),"abgeschlossen",IF(OR($K10="Neu",$K10="Recherchiert",$K10=""),"Erstkontakt vorbereiten",IF($K10="Kontaktiert",IF($L10="","Datum eintragen",IF(TODAY()&gt;=$O10,"Follow-up 3 fällig",IF(TODAY()&gt;=$N10,"Follow-up 2 fällig",IF(TODAY()&gt;=$M10,"Follow-up 1 fällig","warten")))),IF($K10="Antwort","Antworten",IF($K10="Gespräch","Nachbereiten",IF($K10="Angebot","Angebot nachfassen","")))))))</f>
        <v/>
      </c>
      <c r="Q10" s="17"/>
      <c r="R10" s="13"/>
    </row>
    <row r="11" customFormat="false" ht="1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3"/>
      <c r="K11" s="12"/>
      <c r="L11" s="14"/>
      <c r="M11" s="15" t="str">
        <f aca="false">IF($L11="","",$L11+Einstellungen!$B$3)</f>
        <v/>
      </c>
      <c r="N11" s="15" t="str">
        <f aca="false">IF($L11="","",$L11+Einstellungen!$B$4)</f>
        <v/>
      </c>
      <c r="O11" s="15" t="str">
        <f aca="false">IF($L11="","",$L11+Einstellungen!$B$5)</f>
        <v/>
      </c>
      <c r="P11" s="16" t="str">
        <f aca="true">IF($B11="","",IF(OR($K11="Gewonnen",$K11="Verloren",$K11="Kein Interesse"),"abgeschlossen",IF(OR($K11="Neu",$K11="Recherchiert",$K11=""),"Erstkontakt vorbereiten",IF($K11="Kontaktiert",IF($L11="","Datum eintragen",IF(TODAY()&gt;=$O11,"Follow-up 3 fällig",IF(TODAY()&gt;=$N11,"Follow-up 2 fällig",IF(TODAY()&gt;=$M11,"Follow-up 1 fällig","warten")))),IF($K11="Antwort","Antworten",IF($K11="Gespräch","Nachbereiten",IF($K11="Angebot","Angebot nachfassen","")))))))</f>
        <v/>
      </c>
      <c r="Q11" s="17"/>
      <c r="R11" s="13"/>
    </row>
    <row r="12" customFormat="false" ht="1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3"/>
      <c r="K12" s="12"/>
      <c r="L12" s="14"/>
      <c r="M12" s="15" t="str">
        <f aca="false">IF($L12="","",$L12+Einstellungen!$B$3)</f>
        <v/>
      </c>
      <c r="N12" s="15" t="str">
        <f aca="false">IF($L12="","",$L12+Einstellungen!$B$4)</f>
        <v/>
      </c>
      <c r="O12" s="15" t="str">
        <f aca="false">IF($L12="","",$L12+Einstellungen!$B$5)</f>
        <v/>
      </c>
      <c r="P12" s="16" t="str">
        <f aca="true">IF($B12="","",IF(OR($K12="Gewonnen",$K12="Verloren",$K12="Kein Interesse"),"abgeschlossen",IF(OR($K12="Neu",$K12="Recherchiert",$K12=""),"Erstkontakt vorbereiten",IF($K12="Kontaktiert",IF($L12="","Datum eintragen",IF(TODAY()&gt;=$O12,"Follow-up 3 fällig",IF(TODAY()&gt;=$N12,"Follow-up 2 fällig",IF(TODAY()&gt;=$M12,"Follow-up 1 fällig","warten")))),IF($K12="Antwort","Antworten",IF($K12="Gespräch","Nachbereiten",IF($K12="Angebot","Angebot nachfassen","")))))))</f>
        <v/>
      </c>
      <c r="Q12" s="17"/>
      <c r="R12" s="13"/>
    </row>
    <row r="13" customFormat="false" ht="15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3"/>
      <c r="K13" s="12"/>
      <c r="L13" s="14"/>
      <c r="M13" s="15" t="str">
        <f aca="false">IF($L13="","",$L13+Einstellungen!$B$3)</f>
        <v/>
      </c>
      <c r="N13" s="15" t="str">
        <f aca="false">IF($L13="","",$L13+Einstellungen!$B$4)</f>
        <v/>
      </c>
      <c r="O13" s="15" t="str">
        <f aca="false">IF($L13="","",$L13+Einstellungen!$B$5)</f>
        <v/>
      </c>
      <c r="P13" s="16" t="str">
        <f aca="true">IF($B13="","",IF(OR($K13="Gewonnen",$K13="Verloren",$K13="Kein Interesse"),"abgeschlossen",IF(OR($K13="Neu",$K13="Recherchiert",$K13=""),"Erstkontakt vorbereiten",IF($K13="Kontaktiert",IF($L13="","Datum eintragen",IF(TODAY()&gt;=$O13,"Follow-up 3 fällig",IF(TODAY()&gt;=$N13,"Follow-up 2 fällig",IF(TODAY()&gt;=$M13,"Follow-up 1 fällig","warten")))),IF($K13="Antwort","Antworten",IF($K13="Gespräch","Nachbereiten",IF($K13="Angebot","Angebot nachfassen","")))))))</f>
        <v/>
      </c>
      <c r="Q13" s="17"/>
      <c r="R13" s="13"/>
    </row>
    <row r="14" customFormat="false" ht="1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3"/>
      <c r="K14" s="12"/>
      <c r="L14" s="14"/>
      <c r="M14" s="15" t="str">
        <f aca="false">IF($L14="","",$L14+Einstellungen!$B$3)</f>
        <v/>
      </c>
      <c r="N14" s="15" t="str">
        <f aca="false">IF($L14="","",$L14+Einstellungen!$B$4)</f>
        <v/>
      </c>
      <c r="O14" s="15" t="str">
        <f aca="false">IF($L14="","",$L14+Einstellungen!$B$5)</f>
        <v/>
      </c>
      <c r="P14" s="16" t="str">
        <f aca="true">IF($B14="","",IF(OR($K14="Gewonnen",$K14="Verloren",$K14="Kein Interesse"),"abgeschlossen",IF(OR($K14="Neu",$K14="Recherchiert",$K14=""),"Erstkontakt vorbereiten",IF($K14="Kontaktiert",IF($L14="","Datum eintragen",IF(TODAY()&gt;=$O14,"Follow-up 3 fällig",IF(TODAY()&gt;=$N14,"Follow-up 2 fällig",IF(TODAY()&gt;=$M14,"Follow-up 1 fällig","warten")))),IF($K14="Antwort","Antworten",IF($K14="Gespräch","Nachbereiten",IF($K14="Angebot","Angebot nachfassen","")))))))</f>
        <v/>
      </c>
      <c r="Q14" s="17"/>
      <c r="R14" s="13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3"/>
      <c r="K15" s="12"/>
      <c r="L15" s="14"/>
      <c r="M15" s="15" t="str">
        <f aca="false">IF($L15="","",$L15+Einstellungen!$B$3)</f>
        <v/>
      </c>
      <c r="N15" s="15" t="str">
        <f aca="false">IF($L15="","",$L15+Einstellungen!$B$4)</f>
        <v/>
      </c>
      <c r="O15" s="15" t="str">
        <f aca="false">IF($L15="","",$L15+Einstellungen!$B$5)</f>
        <v/>
      </c>
      <c r="P15" s="16" t="str">
        <f aca="true">IF($B15="","",IF(OR($K15="Gewonnen",$K15="Verloren",$K15="Kein Interesse"),"abgeschlossen",IF(OR($K15="Neu",$K15="Recherchiert",$K15=""),"Erstkontakt vorbereiten",IF($K15="Kontaktiert",IF($L15="","Datum eintragen",IF(TODAY()&gt;=$O15,"Follow-up 3 fällig",IF(TODAY()&gt;=$N15,"Follow-up 2 fällig",IF(TODAY()&gt;=$M15,"Follow-up 1 fällig","warten")))),IF($K15="Antwort","Antworten",IF($K15="Gespräch","Nachbereiten",IF($K15="Angebot","Angebot nachfassen","")))))))</f>
        <v/>
      </c>
      <c r="Q15" s="17"/>
      <c r="R15" s="13"/>
    </row>
    <row r="16" customFormat="false" ht="1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3"/>
      <c r="K16" s="12"/>
      <c r="L16" s="14"/>
      <c r="M16" s="15" t="str">
        <f aca="false">IF($L16="","",$L16+Einstellungen!$B$3)</f>
        <v/>
      </c>
      <c r="N16" s="15" t="str">
        <f aca="false">IF($L16="","",$L16+Einstellungen!$B$4)</f>
        <v/>
      </c>
      <c r="O16" s="15" t="str">
        <f aca="false">IF($L16="","",$L16+Einstellungen!$B$5)</f>
        <v/>
      </c>
      <c r="P16" s="16" t="str">
        <f aca="true">IF($B16="","",IF(OR($K16="Gewonnen",$K16="Verloren",$K16="Kein Interesse"),"abgeschlossen",IF(OR($K16="Neu",$K16="Recherchiert",$K16=""),"Erstkontakt vorbereiten",IF($K16="Kontaktiert",IF($L16="","Datum eintragen",IF(TODAY()&gt;=$O16,"Follow-up 3 fällig",IF(TODAY()&gt;=$N16,"Follow-up 2 fällig",IF(TODAY()&gt;=$M16,"Follow-up 1 fällig","warten")))),IF($K16="Antwort","Antworten",IF($K16="Gespräch","Nachbereiten",IF($K16="Angebot","Angebot nachfassen","")))))))</f>
        <v/>
      </c>
      <c r="Q16" s="17"/>
      <c r="R16" s="13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3"/>
      <c r="K17" s="12"/>
      <c r="L17" s="14"/>
      <c r="M17" s="15" t="str">
        <f aca="false">IF($L17="","",$L17+Einstellungen!$B$3)</f>
        <v/>
      </c>
      <c r="N17" s="15" t="str">
        <f aca="false">IF($L17="","",$L17+Einstellungen!$B$4)</f>
        <v/>
      </c>
      <c r="O17" s="15" t="str">
        <f aca="false">IF($L17="","",$L17+Einstellungen!$B$5)</f>
        <v/>
      </c>
      <c r="P17" s="16" t="str">
        <f aca="true">IF($B17="","",IF(OR($K17="Gewonnen",$K17="Verloren",$K17="Kein Interesse"),"abgeschlossen",IF(OR($K17="Neu",$K17="Recherchiert",$K17=""),"Erstkontakt vorbereiten",IF($K17="Kontaktiert",IF($L17="","Datum eintragen",IF(TODAY()&gt;=$O17,"Follow-up 3 fällig",IF(TODAY()&gt;=$N17,"Follow-up 2 fällig",IF(TODAY()&gt;=$M17,"Follow-up 1 fällig","warten")))),IF($K17="Antwort","Antworten",IF($K17="Gespräch","Nachbereiten",IF($K17="Angebot","Angebot nachfassen","")))))))</f>
        <v/>
      </c>
      <c r="Q17" s="17"/>
      <c r="R17" s="13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3"/>
      <c r="K18" s="12"/>
      <c r="L18" s="14"/>
      <c r="M18" s="15" t="str">
        <f aca="false">IF($L18="","",$L18+Einstellungen!$B$3)</f>
        <v/>
      </c>
      <c r="N18" s="15" t="str">
        <f aca="false">IF($L18="","",$L18+Einstellungen!$B$4)</f>
        <v/>
      </c>
      <c r="O18" s="15" t="str">
        <f aca="false">IF($L18="","",$L18+Einstellungen!$B$5)</f>
        <v/>
      </c>
      <c r="P18" s="16" t="str">
        <f aca="true">IF($B18="","",IF(OR($K18="Gewonnen",$K18="Verloren",$K18="Kein Interesse"),"abgeschlossen",IF(OR($K18="Neu",$K18="Recherchiert",$K18=""),"Erstkontakt vorbereiten",IF($K18="Kontaktiert",IF($L18="","Datum eintragen",IF(TODAY()&gt;=$O18,"Follow-up 3 fällig",IF(TODAY()&gt;=$N18,"Follow-up 2 fällig",IF(TODAY()&gt;=$M18,"Follow-up 1 fällig","warten")))),IF($K18="Antwort","Antworten",IF($K18="Gespräch","Nachbereiten",IF($K18="Angebot","Angebot nachfassen","")))))))</f>
        <v/>
      </c>
      <c r="Q18" s="17"/>
      <c r="R18" s="13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3"/>
      <c r="K19" s="12"/>
      <c r="L19" s="14"/>
      <c r="M19" s="15" t="str">
        <f aca="false">IF($L19="","",$L19+Einstellungen!$B$3)</f>
        <v/>
      </c>
      <c r="N19" s="15" t="str">
        <f aca="false">IF($L19="","",$L19+Einstellungen!$B$4)</f>
        <v/>
      </c>
      <c r="O19" s="15" t="str">
        <f aca="false">IF($L19="","",$L19+Einstellungen!$B$5)</f>
        <v/>
      </c>
      <c r="P19" s="16" t="str">
        <f aca="true">IF($B19="","",IF(OR($K19="Gewonnen",$K19="Verloren",$K19="Kein Interesse"),"abgeschlossen",IF(OR($K19="Neu",$K19="Recherchiert",$K19=""),"Erstkontakt vorbereiten",IF($K19="Kontaktiert",IF($L19="","Datum eintragen",IF(TODAY()&gt;=$O19,"Follow-up 3 fällig",IF(TODAY()&gt;=$N19,"Follow-up 2 fällig",IF(TODAY()&gt;=$M19,"Follow-up 1 fällig","warten")))),IF($K19="Antwort","Antworten",IF($K19="Gespräch","Nachbereiten",IF($K19="Angebot","Angebot nachfassen","")))))))</f>
        <v/>
      </c>
      <c r="Q19" s="17"/>
      <c r="R19" s="13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3"/>
      <c r="K20" s="12"/>
      <c r="L20" s="14"/>
      <c r="M20" s="15" t="str">
        <f aca="false">IF($L20="","",$L20+Einstellungen!$B$3)</f>
        <v/>
      </c>
      <c r="N20" s="15" t="str">
        <f aca="false">IF($L20="","",$L20+Einstellungen!$B$4)</f>
        <v/>
      </c>
      <c r="O20" s="15" t="str">
        <f aca="false">IF($L20="","",$L20+Einstellungen!$B$5)</f>
        <v/>
      </c>
      <c r="P20" s="16" t="str">
        <f aca="true">IF($B20="","",IF(OR($K20="Gewonnen",$K20="Verloren",$K20="Kein Interesse"),"abgeschlossen",IF(OR($K20="Neu",$K20="Recherchiert",$K20=""),"Erstkontakt vorbereiten",IF($K20="Kontaktiert",IF($L20="","Datum eintragen",IF(TODAY()&gt;=$O20,"Follow-up 3 fällig",IF(TODAY()&gt;=$N20,"Follow-up 2 fällig",IF(TODAY()&gt;=$M20,"Follow-up 1 fällig","warten")))),IF($K20="Antwort","Antworten",IF($K20="Gespräch","Nachbereiten",IF($K20="Angebot","Angebot nachfassen","")))))))</f>
        <v/>
      </c>
      <c r="Q20" s="17"/>
      <c r="R20" s="13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3"/>
      <c r="K21" s="12"/>
      <c r="L21" s="14"/>
      <c r="M21" s="15" t="str">
        <f aca="false">IF($L21="","",$L21+Einstellungen!$B$3)</f>
        <v/>
      </c>
      <c r="N21" s="15" t="str">
        <f aca="false">IF($L21="","",$L21+Einstellungen!$B$4)</f>
        <v/>
      </c>
      <c r="O21" s="15" t="str">
        <f aca="false">IF($L21="","",$L21+Einstellungen!$B$5)</f>
        <v/>
      </c>
      <c r="P21" s="16" t="str">
        <f aca="true">IF($B21="","",IF(OR($K21="Gewonnen",$K21="Verloren",$K21="Kein Interesse"),"abgeschlossen",IF(OR($K21="Neu",$K21="Recherchiert",$K21=""),"Erstkontakt vorbereiten",IF($K21="Kontaktiert",IF($L21="","Datum eintragen",IF(TODAY()&gt;=$O21,"Follow-up 3 fällig",IF(TODAY()&gt;=$N21,"Follow-up 2 fällig",IF(TODAY()&gt;=$M21,"Follow-up 1 fällig","warten")))),IF($K21="Antwort","Antworten",IF($K21="Gespräch","Nachbereiten",IF($K21="Angebot","Angebot nachfassen","")))))))</f>
        <v/>
      </c>
      <c r="Q21" s="17"/>
      <c r="R21" s="13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3"/>
      <c r="K22" s="12"/>
      <c r="L22" s="14"/>
      <c r="M22" s="15" t="str">
        <f aca="false">IF($L22="","",$L22+Einstellungen!$B$3)</f>
        <v/>
      </c>
      <c r="N22" s="15" t="str">
        <f aca="false">IF($L22="","",$L22+Einstellungen!$B$4)</f>
        <v/>
      </c>
      <c r="O22" s="15" t="str">
        <f aca="false">IF($L22="","",$L22+Einstellungen!$B$5)</f>
        <v/>
      </c>
      <c r="P22" s="16" t="str">
        <f aca="true">IF($B22="","",IF(OR($K22="Gewonnen",$K22="Verloren",$K22="Kein Interesse"),"abgeschlossen",IF(OR($K22="Neu",$K22="Recherchiert",$K22=""),"Erstkontakt vorbereiten",IF($K22="Kontaktiert",IF($L22="","Datum eintragen",IF(TODAY()&gt;=$O22,"Follow-up 3 fällig",IF(TODAY()&gt;=$N22,"Follow-up 2 fällig",IF(TODAY()&gt;=$M22,"Follow-up 1 fällig","warten")))),IF($K22="Antwort","Antworten",IF($K22="Gespräch","Nachbereiten",IF($K22="Angebot","Angebot nachfassen","")))))))</f>
        <v/>
      </c>
      <c r="Q22" s="17"/>
      <c r="R22" s="13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3"/>
      <c r="K23" s="12"/>
      <c r="L23" s="14"/>
      <c r="M23" s="15" t="str">
        <f aca="false">IF($L23="","",$L23+Einstellungen!$B$3)</f>
        <v/>
      </c>
      <c r="N23" s="15" t="str">
        <f aca="false">IF($L23="","",$L23+Einstellungen!$B$4)</f>
        <v/>
      </c>
      <c r="O23" s="15" t="str">
        <f aca="false">IF($L23="","",$L23+Einstellungen!$B$5)</f>
        <v/>
      </c>
      <c r="P23" s="16" t="str">
        <f aca="true">IF($B23="","",IF(OR($K23="Gewonnen",$K23="Verloren",$K23="Kein Interesse"),"abgeschlossen",IF(OR($K23="Neu",$K23="Recherchiert",$K23=""),"Erstkontakt vorbereiten",IF($K23="Kontaktiert",IF($L23="","Datum eintragen",IF(TODAY()&gt;=$O23,"Follow-up 3 fällig",IF(TODAY()&gt;=$N23,"Follow-up 2 fällig",IF(TODAY()&gt;=$M23,"Follow-up 1 fällig","warten")))),IF($K23="Antwort","Antworten",IF($K23="Gespräch","Nachbereiten",IF($K23="Angebot","Angebot nachfassen","")))))))</f>
        <v/>
      </c>
      <c r="Q23" s="17"/>
      <c r="R23" s="13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3"/>
      <c r="K24" s="12"/>
      <c r="L24" s="14"/>
      <c r="M24" s="15" t="str">
        <f aca="false">IF($L24="","",$L24+Einstellungen!$B$3)</f>
        <v/>
      </c>
      <c r="N24" s="15" t="str">
        <f aca="false">IF($L24="","",$L24+Einstellungen!$B$4)</f>
        <v/>
      </c>
      <c r="O24" s="15" t="str">
        <f aca="false">IF($L24="","",$L24+Einstellungen!$B$5)</f>
        <v/>
      </c>
      <c r="P24" s="16" t="str">
        <f aca="true">IF($B24="","",IF(OR($K24="Gewonnen",$K24="Verloren",$K24="Kein Interesse"),"abgeschlossen",IF(OR($K24="Neu",$K24="Recherchiert",$K24=""),"Erstkontakt vorbereiten",IF($K24="Kontaktiert",IF($L24="","Datum eintragen",IF(TODAY()&gt;=$O24,"Follow-up 3 fällig",IF(TODAY()&gt;=$N24,"Follow-up 2 fällig",IF(TODAY()&gt;=$M24,"Follow-up 1 fällig","warten")))),IF($K24="Antwort","Antworten",IF($K24="Gespräch","Nachbereiten",IF($K24="Angebot","Angebot nachfassen","")))))))</f>
        <v/>
      </c>
      <c r="Q24" s="17"/>
      <c r="R24" s="13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3"/>
      <c r="K25" s="12"/>
      <c r="L25" s="14"/>
      <c r="M25" s="15" t="str">
        <f aca="false">IF($L25="","",$L25+Einstellungen!$B$3)</f>
        <v/>
      </c>
      <c r="N25" s="15" t="str">
        <f aca="false">IF($L25="","",$L25+Einstellungen!$B$4)</f>
        <v/>
      </c>
      <c r="O25" s="15" t="str">
        <f aca="false">IF($L25="","",$L25+Einstellungen!$B$5)</f>
        <v/>
      </c>
      <c r="P25" s="16" t="str">
        <f aca="true">IF($B25="","",IF(OR($K25="Gewonnen",$K25="Verloren",$K25="Kein Interesse"),"abgeschlossen",IF(OR($K25="Neu",$K25="Recherchiert",$K25=""),"Erstkontakt vorbereiten",IF($K25="Kontaktiert",IF($L25="","Datum eintragen",IF(TODAY()&gt;=$O25,"Follow-up 3 fällig",IF(TODAY()&gt;=$N25,"Follow-up 2 fällig",IF(TODAY()&gt;=$M25,"Follow-up 1 fällig","warten")))),IF($K25="Antwort","Antworten",IF($K25="Gespräch","Nachbereiten",IF($K25="Angebot","Angebot nachfassen","")))))))</f>
        <v/>
      </c>
      <c r="Q25" s="17"/>
      <c r="R25" s="13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3"/>
      <c r="K26" s="12"/>
      <c r="L26" s="14"/>
      <c r="M26" s="15" t="str">
        <f aca="false">IF($L26="","",$L26+Einstellungen!$B$3)</f>
        <v/>
      </c>
      <c r="N26" s="15" t="str">
        <f aca="false">IF($L26="","",$L26+Einstellungen!$B$4)</f>
        <v/>
      </c>
      <c r="O26" s="15" t="str">
        <f aca="false">IF($L26="","",$L26+Einstellungen!$B$5)</f>
        <v/>
      </c>
      <c r="P26" s="16" t="str">
        <f aca="true">IF($B26="","",IF(OR($K26="Gewonnen",$K26="Verloren",$K26="Kein Interesse"),"abgeschlossen",IF(OR($K26="Neu",$K26="Recherchiert",$K26=""),"Erstkontakt vorbereiten",IF($K26="Kontaktiert",IF($L26="","Datum eintragen",IF(TODAY()&gt;=$O26,"Follow-up 3 fällig",IF(TODAY()&gt;=$N26,"Follow-up 2 fällig",IF(TODAY()&gt;=$M26,"Follow-up 1 fällig","warten")))),IF($K26="Antwort","Antworten",IF($K26="Gespräch","Nachbereiten",IF($K26="Angebot","Angebot nachfassen","")))))))</f>
        <v/>
      </c>
      <c r="Q26" s="17"/>
      <c r="R26" s="13"/>
    </row>
    <row r="27" customFormat="false" ht="1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3"/>
      <c r="K27" s="12"/>
      <c r="L27" s="14"/>
      <c r="M27" s="15" t="str">
        <f aca="false">IF($L27="","",$L27+Einstellungen!$B$3)</f>
        <v/>
      </c>
      <c r="N27" s="15" t="str">
        <f aca="false">IF($L27="","",$L27+Einstellungen!$B$4)</f>
        <v/>
      </c>
      <c r="O27" s="15" t="str">
        <f aca="false">IF($L27="","",$L27+Einstellungen!$B$5)</f>
        <v/>
      </c>
      <c r="P27" s="16" t="str">
        <f aca="true">IF($B27="","",IF(OR($K27="Gewonnen",$K27="Verloren",$K27="Kein Interesse"),"abgeschlossen",IF(OR($K27="Neu",$K27="Recherchiert",$K27=""),"Erstkontakt vorbereiten",IF($K27="Kontaktiert",IF($L27="","Datum eintragen",IF(TODAY()&gt;=$O27,"Follow-up 3 fällig",IF(TODAY()&gt;=$N27,"Follow-up 2 fällig",IF(TODAY()&gt;=$M27,"Follow-up 1 fällig","warten")))),IF($K27="Antwort","Antworten",IF($K27="Gespräch","Nachbereiten",IF($K27="Angebot","Angebot nachfassen","")))))))</f>
        <v/>
      </c>
      <c r="Q27" s="17"/>
      <c r="R27" s="13"/>
    </row>
    <row r="28" customFormat="false" ht="1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3"/>
      <c r="K28" s="12"/>
      <c r="L28" s="14"/>
      <c r="M28" s="15" t="str">
        <f aca="false">IF($L28="","",$L28+Einstellungen!$B$3)</f>
        <v/>
      </c>
      <c r="N28" s="15" t="str">
        <f aca="false">IF($L28="","",$L28+Einstellungen!$B$4)</f>
        <v/>
      </c>
      <c r="O28" s="15" t="str">
        <f aca="false">IF($L28="","",$L28+Einstellungen!$B$5)</f>
        <v/>
      </c>
      <c r="P28" s="16" t="str">
        <f aca="true">IF($B28="","",IF(OR($K28="Gewonnen",$K28="Verloren",$K28="Kein Interesse"),"abgeschlossen",IF(OR($K28="Neu",$K28="Recherchiert",$K28=""),"Erstkontakt vorbereiten",IF($K28="Kontaktiert",IF($L28="","Datum eintragen",IF(TODAY()&gt;=$O28,"Follow-up 3 fällig",IF(TODAY()&gt;=$N28,"Follow-up 2 fällig",IF(TODAY()&gt;=$M28,"Follow-up 1 fällig","warten")))),IF($K28="Antwort","Antworten",IF($K28="Gespräch","Nachbereiten",IF($K28="Angebot","Angebot nachfassen","")))))))</f>
        <v/>
      </c>
      <c r="Q28" s="17"/>
      <c r="R28" s="13"/>
    </row>
    <row r="29" customFormat="false" ht="1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3"/>
      <c r="K29" s="12"/>
      <c r="L29" s="14"/>
      <c r="M29" s="15" t="str">
        <f aca="false">IF($L29="","",$L29+Einstellungen!$B$3)</f>
        <v/>
      </c>
      <c r="N29" s="15" t="str">
        <f aca="false">IF($L29="","",$L29+Einstellungen!$B$4)</f>
        <v/>
      </c>
      <c r="O29" s="15" t="str">
        <f aca="false">IF($L29="","",$L29+Einstellungen!$B$5)</f>
        <v/>
      </c>
      <c r="P29" s="16" t="str">
        <f aca="true">IF($B29="","",IF(OR($K29="Gewonnen",$K29="Verloren",$K29="Kein Interesse"),"abgeschlossen",IF(OR($K29="Neu",$K29="Recherchiert",$K29=""),"Erstkontakt vorbereiten",IF($K29="Kontaktiert",IF($L29="","Datum eintragen",IF(TODAY()&gt;=$O29,"Follow-up 3 fällig",IF(TODAY()&gt;=$N29,"Follow-up 2 fällig",IF(TODAY()&gt;=$M29,"Follow-up 1 fällig","warten")))),IF($K29="Antwort","Antworten",IF($K29="Gespräch","Nachbereiten",IF($K29="Angebot","Angebot nachfassen","")))))))</f>
        <v/>
      </c>
      <c r="Q29" s="17"/>
      <c r="R29" s="13"/>
    </row>
    <row r="30" customFormat="false" ht="1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3"/>
      <c r="K30" s="12"/>
      <c r="L30" s="14"/>
      <c r="M30" s="15" t="str">
        <f aca="false">IF($L30="","",$L30+Einstellungen!$B$3)</f>
        <v/>
      </c>
      <c r="N30" s="15" t="str">
        <f aca="false">IF($L30="","",$L30+Einstellungen!$B$4)</f>
        <v/>
      </c>
      <c r="O30" s="15" t="str">
        <f aca="false">IF($L30="","",$L30+Einstellungen!$B$5)</f>
        <v/>
      </c>
      <c r="P30" s="16" t="str">
        <f aca="true">IF($B30="","",IF(OR($K30="Gewonnen",$K30="Verloren",$K30="Kein Interesse"),"abgeschlossen",IF(OR($K30="Neu",$K30="Recherchiert",$K30=""),"Erstkontakt vorbereiten",IF($K30="Kontaktiert",IF($L30="","Datum eintragen",IF(TODAY()&gt;=$O30,"Follow-up 3 fällig",IF(TODAY()&gt;=$N30,"Follow-up 2 fällig",IF(TODAY()&gt;=$M30,"Follow-up 1 fällig","warten")))),IF($K30="Antwort","Antworten",IF($K30="Gespräch","Nachbereiten",IF($K30="Angebot","Angebot nachfassen","")))))))</f>
        <v/>
      </c>
      <c r="Q30" s="17"/>
      <c r="R30" s="13"/>
    </row>
    <row r="31" customFormat="false" ht="15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3"/>
      <c r="K31" s="12"/>
      <c r="L31" s="14"/>
      <c r="M31" s="15" t="str">
        <f aca="false">IF($L31="","",$L31+Einstellungen!$B$3)</f>
        <v/>
      </c>
      <c r="N31" s="15" t="str">
        <f aca="false">IF($L31="","",$L31+Einstellungen!$B$4)</f>
        <v/>
      </c>
      <c r="O31" s="15" t="str">
        <f aca="false">IF($L31="","",$L31+Einstellungen!$B$5)</f>
        <v/>
      </c>
      <c r="P31" s="16" t="str">
        <f aca="true">IF($B31="","",IF(OR($K31="Gewonnen",$K31="Verloren",$K31="Kein Interesse"),"abgeschlossen",IF(OR($K31="Neu",$K31="Recherchiert",$K31=""),"Erstkontakt vorbereiten",IF($K31="Kontaktiert",IF($L31="","Datum eintragen",IF(TODAY()&gt;=$O31,"Follow-up 3 fällig",IF(TODAY()&gt;=$N31,"Follow-up 2 fällig",IF(TODAY()&gt;=$M31,"Follow-up 1 fällig","warten")))),IF($K31="Antwort","Antworten",IF($K31="Gespräch","Nachbereiten",IF($K31="Angebot","Angebot nachfassen","")))))))</f>
        <v/>
      </c>
      <c r="Q31" s="17"/>
      <c r="R31" s="13"/>
    </row>
    <row r="32" customFormat="false" ht="1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3"/>
      <c r="K32" s="12"/>
      <c r="L32" s="14"/>
      <c r="M32" s="15" t="str">
        <f aca="false">IF($L32="","",$L32+Einstellungen!$B$3)</f>
        <v/>
      </c>
      <c r="N32" s="15" t="str">
        <f aca="false">IF($L32="","",$L32+Einstellungen!$B$4)</f>
        <v/>
      </c>
      <c r="O32" s="15" t="str">
        <f aca="false">IF($L32="","",$L32+Einstellungen!$B$5)</f>
        <v/>
      </c>
      <c r="P32" s="16" t="str">
        <f aca="true">IF($B32="","",IF(OR($K32="Gewonnen",$K32="Verloren",$K32="Kein Interesse"),"abgeschlossen",IF(OR($K32="Neu",$K32="Recherchiert",$K32=""),"Erstkontakt vorbereiten",IF($K32="Kontaktiert",IF($L32="","Datum eintragen",IF(TODAY()&gt;=$O32,"Follow-up 3 fällig",IF(TODAY()&gt;=$N32,"Follow-up 2 fällig",IF(TODAY()&gt;=$M32,"Follow-up 1 fällig","warten")))),IF($K32="Antwort","Antworten",IF($K32="Gespräch","Nachbereiten",IF($K32="Angebot","Angebot nachfassen","")))))))</f>
        <v/>
      </c>
      <c r="Q32" s="17"/>
      <c r="R32" s="13"/>
    </row>
    <row r="33" customFormat="false" ht="1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3"/>
      <c r="K33" s="12"/>
      <c r="L33" s="14"/>
      <c r="M33" s="15" t="str">
        <f aca="false">IF($L33="","",$L33+Einstellungen!$B$3)</f>
        <v/>
      </c>
      <c r="N33" s="15" t="str">
        <f aca="false">IF($L33="","",$L33+Einstellungen!$B$4)</f>
        <v/>
      </c>
      <c r="O33" s="15" t="str">
        <f aca="false">IF($L33="","",$L33+Einstellungen!$B$5)</f>
        <v/>
      </c>
      <c r="P33" s="16" t="str">
        <f aca="true">IF($B33="","",IF(OR($K33="Gewonnen",$K33="Verloren",$K33="Kein Interesse"),"abgeschlossen",IF(OR($K33="Neu",$K33="Recherchiert",$K33=""),"Erstkontakt vorbereiten",IF($K33="Kontaktiert",IF($L33="","Datum eintragen",IF(TODAY()&gt;=$O33,"Follow-up 3 fällig",IF(TODAY()&gt;=$N33,"Follow-up 2 fällig",IF(TODAY()&gt;=$M33,"Follow-up 1 fällig","warten")))),IF($K33="Antwort","Antworten",IF($K33="Gespräch","Nachbereiten",IF($K33="Angebot","Angebot nachfassen","")))))))</f>
        <v/>
      </c>
      <c r="Q33" s="17"/>
      <c r="R33" s="13"/>
    </row>
    <row r="34" customFormat="false" ht="1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3"/>
      <c r="K34" s="12"/>
      <c r="L34" s="14"/>
      <c r="M34" s="15" t="str">
        <f aca="false">IF($L34="","",$L34+Einstellungen!$B$3)</f>
        <v/>
      </c>
      <c r="N34" s="15" t="str">
        <f aca="false">IF($L34="","",$L34+Einstellungen!$B$4)</f>
        <v/>
      </c>
      <c r="O34" s="15" t="str">
        <f aca="false">IF($L34="","",$L34+Einstellungen!$B$5)</f>
        <v/>
      </c>
      <c r="P34" s="16" t="str">
        <f aca="true">IF($B34="","",IF(OR($K34="Gewonnen",$K34="Verloren",$K34="Kein Interesse"),"abgeschlossen",IF(OR($K34="Neu",$K34="Recherchiert",$K34=""),"Erstkontakt vorbereiten",IF($K34="Kontaktiert",IF($L34="","Datum eintragen",IF(TODAY()&gt;=$O34,"Follow-up 3 fällig",IF(TODAY()&gt;=$N34,"Follow-up 2 fällig",IF(TODAY()&gt;=$M34,"Follow-up 1 fällig","warten")))),IF($K34="Antwort","Antworten",IF($K34="Gespräch","Nachbereiten",IF($K34="Angebot","Angebot nachfassen","")))))))</f>
        <v/>
      </c>
      <c r="Q34" s="17"/>
      <c r="R34" s="13"/>
    </row>
    <row r="35" customFormat="false" ht="1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3"/>
      <c r="K35" s="12"/>
      <c r="L35" s="14"/>
      <c r="M35" s="15" t="str">
        <f aca="false">IF($L35="","",$L35+Einstellungen!$B$3)</f>
        <v/>
      </c>
      <c r="N35" s="15" t="str">
        <f aca="false">IF($L35="","",$L35+Einstellungen!$B$4)</f>
        <v/>
      </c>
      <c r="O35" s="15" t="str">
        <f aca="false">IF($L35="","",$L35+Einstellungen!$B$5)</f>
        <v/>
      </c>
      <c r="P35" s="16" t="str">
        <f aca="true">IF($B35="","",IF(OR($K35="Gewonnen",$K35="Verloren",$K35="Kein Interesse"),"abgeschlossen",IF(OR($K35="Neu",$K35="Recherchiert",$K35=""),"Erstkontakt vorbereiten",IF($K35="Kontaktiert",IF($L35="","Datum eintragen",IF(TODAY()&gt;=$O35,"Follow-up 3 fällig",IF(TODAY()&gt;=$N35,"Follow-up 2 fällig",IF(TODAY()&gt;=$M35,"Follow-up 1 fällig","warten")))),IF($K35="Antwort","Antworten",IF($K35="Gespräch","Nachbereiten",IF($K35="Angebot","Angebot nachfassen","")))))))</f>
        <v/>
      </c>
      <c r="Q35" s="17"/>
      <c r="R35" s="13"/>
    </row>
    <row r="36" customFormat="false" ht="1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3"/>
      <c r="K36" s="12"/>
      <c r="L36" s="14"/>
      <c r="M36" s="15" t="str">
        <f aca="false">IF($L36="","",$L36+Einstellungen!$B$3)</f>
        <v/>
      </c>
      <c r="N36" s="15" t="str">
        <f aca="false">IF($L36="","",$L36+Einstellungen!$B$4)</f>
        <v/>
      </c>
      <c r="O36" s="15" t="str">
        <f aca="false">IF($L36="","",$L36+Einstellungen!$B$5)</f>
        <v/>
      </c>
      <c r="P36" s="16" t="str">
        <f aca="true">IF($B36="","",IF(OR($K36="Gewonnen",$K36="Verloren",$K36="Kein Interesse"),"abgeschlossen",IF(OR($K36="Neu",$K36="Recherchiert",$K36=""),"Erstkontakt vorbereiten",IF($K36="Kontaktiert",IF($L36="","Datum eintragen",IF(TODAY()&gt;=$O36,"Follow-up 3 fällig",IF(TODAY()&gt;=$N36,"Follow-up 2 fällig",IF(TODAY()&gt;=$M36,"Follow-up 1 fällig","warten")))),IF($K36="Antwort","Antworten",IF($K36="Gespräch","Nachbereiten",IF($K36="Angebot","Angebot nachfassen","")))))))</f>
        <v/>
      </c>
      <c r="Q36" s="17"/>
      <c r="R36" s="13"/>
    </row>
    <row r="37" customFormat="false" ht="15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3"/>
      <c r="K37" s="12"/>
      <c r="L37" s="14"/>
      <c r="M37" s="15" t="str">
        <f aca="false">IF($L37="","",$L37+Einstellungen!$B$3)</f>
        <v/>
      </c>
      <c r="N37" s="15" t="str">
        <f aca="false">IF($L37="","",$L37+Einstellungen!$B$4)</f>
        <v/>
      </c>
      <c r="O37" s="15" t="str">
        <f aca="false">IF($L37="","",$L37+Einstellungen!$B$5)</f>
        <v/>
      </c>
      <c r="P37" s="16" t="str">
        <f aca="true">IF($B37="","",IF(OR($K37="Gewonnen",$K37="Verloren",$K37="Kein Interesse"),"abgeschlossen",IF(OR($K37="Neu",$K37="Recherchiert",$K37=""),"Erstkontakt vorbereiten",IF($K37="Kontaktiert",IF($L37="","Datum eintragen",IF(TODAY()&gt;=$O37,"Follow-up 3 fällig",IF(TODAY()&gt;=$N37,"Follow-up 2 fällig",IF(TODAY()&gt;=$M37,"Follow-up 1 fällig","warten")))),IF($K37="Antwort","Antworten",IF($K37="Gespräch","Nachbereiten",IF($K37="Angebot","Angebot nachfassen","")))))))</f>
        <v/>
      </c>
      <c r="Q37" s="17"/>
      <c r="R37" s="13"/>
    </row>
    <row r="38" customFormat="false" ht="1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3"/>
      <c r="K38" s="12"/>
      <c r="L38" s="14"/>
      <c r="M38" s="15" t="str">
        <f aca="false">IF($L38="","",$L38+Einstellungen!$B$3)</f>
        <v/>
      </c>
      <c r="N38" s="15" t="str">
        <f aca="false">IF($L38="","",$L38+Einstellungen!$B$4)</f>
        <v/>
      </c>
      <c r="O38" s="15" t="str">
        <f aca="false">IF($L38="","",$L38+Einstellungen!$B$5)</f>
        <v/>
      </c>
      <c r="P38" s="16" t="str">
        <f aca="true">IF($B38="","",IF(OR($K38="Gewonnen",$K38="Verloren",$K38="Kein Interesse"),"abgeschlossen",IF(OR($K38="Neu",$K38="Recherchiert",$K38=""),"Erstkontakt vorbereiten",IF($K38="Kontaktiert",IF($L38="","Datum eintragen",IF(TODAY()&gt;=$O38,"Follow-up 3 fällig",IF(TODAY()&gt;=$N38,"Follow-up 2 fällig",IF(TODAY()&gt;=$M38,"Follow-up 1 fällig","warten")))),IF($K38="Antwort","Antworten",IF($K38="Gespräch","Nachbereiten",IF($K38="Angebot","Angebot nachfassen","")))))))</f>
        <v/>
      </c>
      <c r="Q38" s="17"/>
      <c r="R38" s="13"/>
    </row>
    <row r="39" customFormat="false" ht="15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3"/>
      <c r="K39" s="12"/>
      <c r="L39" s="14"/>
      <c r="M39" s="15" t="str">
        <f aca="false">IF($L39="","",$L39+Einstellungen!$B$3)</f>
        <v/>
      </c>
      <c r="N39" s="15" t="str">
        <f aca="false">IF($L39="","",$L39+Einstellungen!$B$4)</f>
        <v/>
      </c>
      <c r="O39" s="15" t="str">
        <f aca="false">IF($L39="","",$L39+Einstellungen!$B$5)</f>
        <v/>
      </c>
      <c r="P39" s="16" t="str">
        <f aca="true">IF($B39="","",IF(OR($K39="Gewonnen",$K39="Verloren",$K39="Kein Interesse"),"abgeschlossen",IF(OR($K39="Neu",$K39="Recherchiert",$K39=""),"Erstkontakt vorbereiten",IF($K39="Kontaktiert",IF($L39="","Datum eintragen",IF(TODAY()&gt;=$O39,"Follow-up 3 fällig",IF(TODAY()&gt;=$N39,"Follow-up 2 fällig",IF(TODAY()&gt;=$M39,"Follow-up 1 fällig","warten")))),IF($K39="Antwort","Antworten",IF($K39="Gespräch","Nachbereiten",IF($K39="Angebot","Angebot nachfassen","")))))))</f>
        <v/>
      </c>
      <c r="Q39" s="17"/>
      <c r="R39" s="13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3"/>
      <c r="K40" s="12"/>
      <c r="L40" s="14"/>
      <c r="M40" s="15" t="str">
        <f aca="false">IF($L40="","",$L40+Einstellungen!$B$3)</f>
        <v/>
      </c>
      <c r="N40" s="15" t="str">
        <f aca="false">IF($L40="","",$L40+Einstellungen!$B$4)</f>
        <v/>
      </c>
      <c r="O40" s="15" t="str">
        <f aca="false">IF($L40="","",$L40+Einstellungen!$B$5)</f>
        <v/>
      </c>
      <c r="P40" s="16" t="str">
        <f aca="true">IF($B40="","",IF(OR($K40="Gewonnen",$K40="Verloren",$K40="Kein Interesse"),"abgeschlossen",IF(OR($K40="Neu",$K40="Recherchiert",$K40=""),"Erstkontakt vorbereiten",IF($K40="Kontaktiert",IF($L40="","Datum eintragen",IF(TODAY()&gt;=$O40,"Follow-up 3 fällig",IF(TODAY()&gt;=$N40,"Follow-up 2 fällig",IF(TODAY()&gt;=$M40,"Follow-up 1 fällig","warten")))),IF($K40="Antwort","Antworten",IF($K40="Gespräch","Nachbereiten",IF($K40="Angebot","Angebot nachfassen","")))))))</f>
        <v/>
      </c>
      <c r="Q40" s="17"/>
      <c r="R40" s="13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3"/>
      <c r="K41" s="12"/>
      <c r="L41" s="14"/>
      <c r="M41" s="15" t="str">
        <f aca="false">IF($L41="","",$L41+Einstellungen!$B$3)</f>
        <v/>
      </c>
      <c r="N41" s="15" t="str">
        <f aca="false">IF($L41="","",$L41+Einstellungen!$B$4)</f>
        <v/>
      </c>
      <c r="O41" s="15" t="str">
        <f aca="false">IF($L41="","",$L41+Einstellungen!$B$5)</f>
        <v/>
      </c>
      <c r="P41" s="16" t="str">
        <f aca="true">IF($B41="","",IF(OR($K41="Gewonnen",$K41="Verloren",$K41="Kein Interesse"),"abgeschlossen",IF(OR($K41="Neu",$K41="Recherchiert",$K41=""),"Erstkontakt vorbereiten",IF($K41="Kontaktiert",IF($L41="","Datum eintragen",IF(TODAY()&gt;=$O41,"Follow-up 3 fällig",IF(TODAY()&gt;=$N41,"Follow-up 2 fällig",IF(TODAY()&gt;=$M41,"Follow-up 1 fällig","warten")))),IF($K41="Antwort","Antworten",IF($K41="Gespräch","Nachbereiten",IF($K41="Angebot","Angebot nachfassen","")))))))</f>
        <v/>
      </c>
      <c r="Q41" s="17"/>
      <c r="R41" s="13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3"/>
      <c r="K42" s="12"/>
      <c r="L42" s="14"/>
      <c r="M42" s="15" t="str">
        <f aca="false">IF($L42="","",$L42+Einstellungen!$B$3)</f>
        <v/>
      </c>
      <c r="N42" s="15" t="str">
        <f aca="false">IF($L42="","",$L42+Einstellungen!$B$4)</f>
        <v/>
      </c>
      <c r="O42" s="15" t="str">
        <f aca="false">IF($L42="","",$L42+Einstellungen!$B$5)</f>
        <v/>
      </c>
      <c r="P42" s="16" t="str">
        <f aca="true">IF($B42="","",IF(OR($K42="Gewonnen",$K42="Verloren",$K42="Kein Interesse"),"abgeschlossen",IF(OR($K42="Neu",$K42="Recherchiert",$K42=""),"Erstkontakt vorbereiten",IF($K42="Kontaktiert",IF($L42="","Datum eintragen",IF(TODAY()&gt;=$O42,"Follow-up 3 fällig",IF(TODAY()&gt;=$N42,"Follow-up 2 fällig",IF(TODAY()&gt;=$M42,"Follow-up 1 fällig","warten")))),IF($K42="Antwort","Antworten",IF($K42="Gespräch","Nachbereiten",IF($K42="Angebot","Angebot nachfassen","")))))))</f>
        <v/>
      </c>
      <c r="Q42" s="17"/>
      <c r="R42" s="13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3"/>
      <c r="K43" s="12"/>
      <c r="L43" s="14"/>
      <c r="M43" s="15" t="str">
        <f aca="false">IF($L43="","",$L43+Einstellungen!$B$3)</f>
        <v/>
      </c>
      <c r="N43" s="15" t="str">
        <f aca="false">IF($L43="","",$L43+Einstellungen!$B$4)</f>
        <v/>
      </c>
      <c r="O43" s="15" t="str">
        <f aca="false">IF($L43="","",$L43+Einstellungen!$B$5)</f>
        <v/>
      </c>
      <c r="P43" s="16" t="str">
        <f aca="true">IF($B43="","",IF(OR($K43="Gewonnen",$K43="Verloren",$K43="Kein Interesse"),"abgeschlossen",IF(OR($K43="Neu",$K43="Recherchiert",$K43=""),"Erstkontakt vorbereiten",IF($K43="Kontaktiert",IF($L43="","Datum eintragen",IF(TODAY()&gt;=$O43,"Follow-up 3 fällig",IF(TODAY()&gt;=$N43,"Follow-up 2 fällig",IF(TODAY()&gt;=$M43,"Follow-up 1 fällig","warten")))),IF($K43="Antwort","Antworten",IF($K43="Gespräch","Nachbereiten",IF($K43="Angebot","Angebot nachfassen","")))))))</f>
        <v/>
      </c>
      <c r="Q43" s="17"/>
      <c r="R43" s="13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3"/>
      <c r="K44" s="12"/>
      <c r="L44" s="14"/>
      <c r="M44" s="15" t="str">
        <f aca="false">IF($L44="","",$L44+Einstellungen!$B$3)</f>
        <v/>
      </c>
      <c r="N44" s="15" t="str">
        <f aca="false">IF($L44="","",$L44+Einstellungen!$B$4)</f>
        <v/>
      </c>
      <c r="O44" s="15" t="str">
        <f aca="false">IF($L44="","",$L44+Einstellungen!$B$5)</f>
        <v/>
      </c>
      <c r="P44" s="16" t="str">
        <f aca="true">IF($B44="","",IF(OR($K44="Gewonnen",$K44="Verloren",$K44="Kein Interesse"),"abgeschlossen",IF(OR($K44="Neu",$K44="Recherchiert",$K44=""),"Erstkontakt vorbereiten",IF($K44="Kontaktiert",IF($L44="","Datum eintragen",IF(TODAY()&gt;=$O44,"Follow-up 3 fällig",IF(TODAY()&gt;=$N44,"Follow-up 2 fällig",IF(TODAY()&gt;=$M44,"Follow-up 1 fällig","warten")))),IF($K44="Antwort","Antworten",IF($K44="Gespräch","Nachbereiten",IF($K44="Angebot","Angebot nachfassen","")))))))</f>
        <v/>
      </c>
      <c r="Q44" s="17"/>
      <c r="R44" s="13"/>
    </row>
    <row r="45" customFormat="false" ht="15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3"/>
      <c r="K45" s="12"/>
      <c r="L45" s="14"/>
      <c r="M45" s="15" t="str">
        <f aca="false">IF($L45="","",$L45+Einstellungen!$B$3)</f>
        <v/>
      </c>
      <c r="N45" s="15" t="str">
        <f aca="false">IF($L45="","",$L45+Einstellungen!$B$4)</f>
        <v/>
      </c>
      <c r="O45" s="15" t="str">
        <f aca="false">IF($L45="","",$L45+Einstellungen!$B$5)</f>
        <v/>
      </c>
      <c r="P45" s="16" t="str">
        <f aca="true">IF($B45="","",IF(OR($K45="Gewonnen",$K45="Verloren",$K45="Kein Interesse"),"abgeschlossen",IF(OR($K45="Neu",$K45="Recherchiert",$K45=""),"Erstkontakt vorbereiten",IF($K45="Kontaktiert",IF($L45="","Datum eintragen",IF(TODAY()&gt;=$O45,"Follow-up 3 fällig",IF(TODAY()&gt;=$N45,"Follow-up 2 fällig",IF(TODAY()&gt;=$M45,"Follow-up 1 fällig","warten")))),IF($K45="Antwort","Antworten",IF($K45="Gespräch","Nachbereiten",IF($K45="Angebot","Angebot nachfassen","")))))))</f>
        <v/>
      </c>
      <c r="Q45" s="17"/>
      <c r="R45" s="13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3"/>
      <c r="K46" s="12"/>
      <c r="L46" s="14"/>
      <c r="M46" s="15" t="str">
        <f aca="false">IF($L46="","",$L46+Einstellungen!$B$3)</f>
        <v/>
      </c>
      <c r="N46" s="15" t="str">
        <f aca="false">IF($L46="","",$L46+Einstellungen!$B$4)</f>
        <v/>
      </c>
      <c r="O46" s="15" t="str">
        <f aca="false">IF($L46="","",$L46+Einstellungen!$B$5)</f>
        <v/>
      </c>
      <c r="P46" s="16" t="str">
        <f aca="true">IF($B46="","",IF(OR($K46="Gewonnen",$K46="Verloren",$K46="Kein Interesse"),"abgeschlossen",IF(OR($K46="Neu",$K46="Recherchiert",$K46=""),"Erstkontakt vorbereiten",IF($K46="Kontaktiert",IF($L46="","Datum eintragen",IF(TODAY()&gt;=$O46,"Follow-up 3 fällig",IF(TODAY()&gt;=$N46,"Follow-up 2 fällig",IF(TODAY()&gt;=$M46,"Follow-up 1 fällig","warten")))),IF($K46="Antwort","Antworten",IF($K46="Gespräch","Nachbereiten",IF($K46="Angebot","Angebot nachfassen","")))))))</f>
        <v/>
      </c>
      <c r="Q46" s="17"/>
      <c r="R46" s="13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3"/>
      <c r="K47" s="12"/>
      <c r="L47" s="14"/>
      <c r="M47" s="15" t="str">
        <f aca="false">IF($L47="","",$L47+Einstellungen!$B$3)</f>
        <v/>
      </c>
      <c r="N47" s="15" t="str">
        <f aca="false">IF($L47="","",$L47+Einstellungen!$B$4)</f>
        <v/>
      </c>
      <c r="O47" s="15" t="str">
        <f aca="false">IF($L47="","",$L47+Einstellungen!$B$5)</f>
        <v/>
      </c>
      <c r="P47" s="16" t="str">
        <f aca="true">IF($B47="","",IF(OR($K47="Gewonnen",$K47="Verloren",$K47="Kein Interesse"),"abgeschlossen",IF(OR($K47="Neu",$K47="Recherchiert",$K47=""),"Erstkontakt vorbereiten",IF($K47="Kontaktiert",IF($L47="","Datum eintragen",IF(TODAY()&gt;=$O47,"Follow-up 3 fällig",IF(TODAY()&gt;=$N47,"Follow-up 2 fällig",IF(TODAY()&gt;=$M47,"Follow-up 1 fällig","warten")))),IF($K47="Antwort","Antworten",IF($K47="Gespräch","Nachbereiten",IF($K47="Angebot","Angebot nachfassen","")))))))</f>
        <v/>
      </c>
      <c r="Q47" s="17"/>
      <c r="R47" s="13"/>
    </row>
    <row r="48" customFormat="false" ht="1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3"/>
      <c r="K48" s="12"/>
      <c r="L48" s="14"/>
      <c r="M48" s="15" t="str">
        <f aca="false">IF($L48="","",$L48+Einstellungen!$B$3)</f>
        <v/>
      </c>
      <c r="N48" s="15" t="str">
        <f aca="false">IF($L48="","",$L48+Einstellungen!$B$4)</f>
        <v/>
      </c>
      <c r="O48" s="15" t="str">
        <f aca="false">IF($L48="","",$L48+Einstellungen!$B$5)</f>
        <v/>
      </c>
      <c r="P48" s="16" t="str">
        <f aca="true">IF($B48="","",IF(OR($K48="Gewonnen",$K48="Verloren",$K48="Kein Interesse"),"abgeschlossen",IF(OR($K48="Neu",$K48="Recherchiert",$K48=""),"Erstkontakt vorbereiten",IF($K48="Kontaktiert",IF($L48="","Datum eintragen",IF(TODAY()&gt;=$O48,"Follow-up 3 fällig",IF(TODAY()&gt;=$N48,"Follow-up 2 fällig",IF(TODAY()&gt;=$M48,"Follow-up 1 fällig","warten")))),IF($K48="Antwort","Antworten",IF($K48="Gespräch","Nachbereiten",IF($K48="Angebot","Angebot nachfassen","")))))))</f>
        <v/>
      </c>
      <c r="Q48" s="17"/>
      <c r="R48" s="13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3"/>
      <c r="K49" s="12"/>
      <c r="L49" s="14"/>
      <c r="M49" s="15" t="str">
        <f aca="false">IF($L49="","",$L49+Einstellungen!$B$3)</f>
        <v/>
      </c>
      <c r="N49" s="15" t="str">
        <f aca="false">IF($L49="","",$L49+Einstellungen!$B$4)</f>
        <v/>
      </c>
      <c r="O49" s="15" t="str">
        <f aca="false">IF($L49="","",$L49+Einstellungen!$B$5)</f>
        <v/>
      </c>
      <c r="P49" s="16" t="str">
        <f aca="true">IF($B49="","",IF(OR($K49="Gewonnen",$K49="Verloren",$K49="Kein Interesse"),"abgeschlossen",IF(OR($K49="Neu",$K49="Recherchiert",$K49=""),"Erstkontakt vorbereiten",IF($K49="Kontaktiert",IF($L49="","Datum eintragen",IF(TODAY()&gt;=$O49,"Follow-up 3 fällig",IF(TODAY()&gt;=$N49,"Follow-up 2 fällig",IF(TODAY()&gt;=$M49,"Follow-up 1 fällig","warten")))),IF($K49="Antwort","Antworten",IF($K49="Gespräch","Nachbereiten",IF($K49="Angebot","Angebot nachfassen","")))))))</f>
        <v/>
      </c>
      <c r="Q49" s="17"/>
      <c r="R49" s="13"/>
    </row>
    <row r="50" customFormat="false" ht="15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3"/>
      <c r="K50" s="12"/>
      <c r="L50" s="14"/>
      <c r="M50" s="15" t="str">
        <f aca="false">IF($L50="","",$L50+Einstellungen!$B$3)</f>
        <v/>
      </c>
      <c r="N50" s="15" t="str">
        <f aca="false">IF($L50="","",$L50+Einstellungen!$B$4)</f>
        <v/>
      </c>
      <c r="O50" s="15" t="str">
        <f aca="false">IF($L50="","",$L50+Einstellungen!$B$5)</f>
        <v/>
      </c>
      <c r="P50" s="16" t="str">
        <f aca="true">IF($B50="","",IF(OR($K50="Gewonnen",$K50="Verloren",$K50="Kein Interesse"),"abgeschlossen",IF(OR($K50="Neu",$K50="Recherchiert",$K50=""),"Erstkontakt vorbereiten",IF($K50="Kontaktiert",IF($L50="","Datum eintragen",IF(TODAY()&gt;=$O50,"Follow-up 3 fällig",IF(TODAY()&gt;=$N50,"Follow-up 2 fällig",IF(TODAY()&gt;=$M50,"Follow-up 1 fällig","warten")))),IF($K50="Antwort","Antworten",IF($K50="Gespräch","Nachbereiten",IF($K50="Angebot","Angebot nachfassen","")))))))</f>
        <v/>
      </c>
      <c r="Q50" s="17"/>
      <c r="R50" s="13"/>
    </row>
    <row r="51" customFormat="false" ht="15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3"/>
      <c r="K51" s="12"/>
      <c r="L51" s="14"/>
      <c r="M51" s="15" t="str">
        <f aca="false">IF($L51="","",$L51+Einstellungen!$B$3)</f>
        <v/>
      </c>
      <c r="N51" s="15" t="str">
        <f aca="false">IF($L51="","",$L51+Einstellungen!$B$4)</f>
        <v/>
      </c>
      <c r="O51" s="15" t="str">
        <f aca="false">IF($L51="","",$L51+Einstellungen!$B$5)</f>
        <v/>
      </c>
      <c r="P51" s="16" t="str">
        <f aca="true">IF($B51="","",IF(OR($K51="Gewonnen",$K51="Verloren",$K51="Kein Interesse"),"abgeschlossen",IF(OR($K51="Neu",$K51="Recherchiert",$K51=""),"Erstkontakt vorbereiten",IF($K51="Kontaktiert",IF($L51="","Datum eintragen",IF(TODAY()&gt;=$O51,"Follow-up 3 fällig",IF(TODAY()&gt;=$N51,"Follow-up 2 fällig",IF(TODAY()&gt;=$M51,"Follow-up 1 fällig","warten")))),IF($K51="Antwort","Antworten",IF($K51="Gespräch","Nachbereiten",IF($K51="Angebot","Angebot nachfassen","")))))))</f>
        <v/>
      </c>
      <c r="Q51" s="17"/>
      <c r="R51" s="13"/>
    </row>
    <row r="52" customFormat="false" ht="15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3"/>
      <c r="K52" s="12"/>
      <c r="L52" s="14"/>
      <c r="M52" s="15" t="str">
        <f aca="false">IF($L52="","",$L52+Einstellungen!$B$3)</f>
        <v/>
      </c>
      <c r="N52" s="15" t="str">
        <f aca="false">IF($L52="","",$L52+Einstellungen!$B$4)</f>
        <v/>
      </c>
      <c r="O52" s="15" t="str">
        <f aca="false">IF($L52="","",$L52+Einstellungen!$B$5)</f>
        <v/>
      </c>
      <c r="P52" s="16" t="str">
        <f aca="true">IF($B52="","",IF(OR($K52="Gewonnen",$K52="Verloren",$K52="Kein Interesse"),"abgeschlossen",IF(OR($K52="Neu",$K52="Recherchiert",$K52=""),"Erstkontakt vorbereiten",IF($K52="Kontaktiert",IF($L52="","Datum eintragen",IF(TODAY()&gt;=$O52,"Follow-up 3 fällig",IF(TODAY()&gt;=$N52,"Follow-up 2 fällig",IF(TODAY()&gt;=$M52,"Follow-up 1 fällig","warten")))),IF($K52="Antwort","Antworten",IF($K52="Gespräch","Nachbereiten",IF($K52="Angebot","Angebot nachfassen","")))))))</f>
        <v/>
      </c>
      <c r="Q52" s="17"/>
      <c r="R52" s="13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3"/>
      <c r="K53" s="12"/>
      <c r="L53" s="14"/>
      <c r="M53" s="15" t="str">
        <f aca="false">IF($L53="","",$L53+Einstellungen!$B$3)</f>
        <v/>
      </c>
      <c r="N53" s="15" t="str">
        <f aca="false">IF($L53="","",$L53+Einstellungen!$B$4)</f>
        <v/>
      </c>
      <c r="O53" s="15" t="str">
        <f aca="false">IF($L53="","",$L53+Einstellungen!$B$5)</f>
        <v/>
      </c>
      <c r="P53" s="16" t="str">
        <f aca="true">IF($B53="","",IF(OR($K53="Gewonnen",$K53="Verloren",$K53="Kein Interesse"),"abgeschlossen",IF(OR($K53="Neu",$K53="Recherchiert",$K53=""),"Erstkontakt vorbereiten",IF($K53="Kontaktiert",IF($L53="","Datum eintragen",IF(TODAY()&gt;=$O53,"Follow-up 3 fällig",IF(TODAY()&gt;=$N53,"Follow-up 2 fällig",IF(TODAY()&gt;=$M53,"Follow-up 1 fällig","warten")))),IF($K53="Antwort","Antworten",IF($K53="Gespräch","Nachbereiten",IF($K53="Angebot","Angebot nachfassen","")))))))</f>
        <v/>
      </c>
      <c r="Q53" s="17"/>
      <c r="R53" s="13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3"/>
      <c r="K54" s="12"/>
      <c r="L54" s="14"/>
      <c r="M54" s="15" t="str">
        <f aca="false">IF($L54="","",$L54+Einstellungen!$B$3)</f>
        <v/>
      </c>
      <c r="N54" s="15" t="str">
        <f aca="false">IF($L54="","",$L54+Einstellungen!$B$4)</f>
        <v/>
      </c>
      <c r="O54" s="15" t="str">
        <f aca="false">IF($L54="","",$L54+Einstellungen!$B$5)</f>
        <v/>
      </c>
      <c r="P54" s="16" t="str">
        <f aca="true">IF($B54="","",IF(OR($K54="Gewonnen",$K54="Verloren",$K54="Kein Interesse"),"abgeschlossen",IF(OR($K54="Neu",$K54="Recherchiert",$K54=""),"Erstkontakt vorbereiten",IF($K54="Kontaktiert",IF($L54="","Datum eintragen",IF(TODAY()&gt;=$O54,"Follow-up 3 fällig",IF(TODAY()&gt;=$N54,"Follow-up 2 fällig",IF(TODAY()&gt;=$M54,"Follow-up 1 fällig","warten")))),IF($K54="Antwort","Antworten",IF($K54="Gespräch","Nachbereiten",IF($K54="Angebot","Angebot nachfassen","")))))))</f>
        <v/>
      </c>
      <c r="Q54" s="17"/>
      <c r="R54" s="13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3"/>
      <c r="K55" s="12"/>
      <c r="L55" s="14"/>
      <c r="M55" s="15" t="str">
        <f aca="false">IF($L55="","",$L55+Einstellungen!$B$3)</f>
        <v/>
      </c>
      <c r="N55" s="15" t="str">
        <f aca="false">IF($L55="","",$L55+Einstellungen!$B$4)</f>
        <v/>
      </c>
      <c r="O55" s="15" t="str">
        <f aca="false">IF($L55="","",$L55+Einstellungen!$B$5)</f>
        <v/>
      </c>
      <c r="P55" s="16" t="str">
        <f aca="true">IF($B55="","",IF(OR($K55="Gewonnen",$K55="Verloren",$K55="Kein Interesse"),"abgeschlossen",IF(OR($K55="Neu",$K55="Recherchiert",$K55=""),"Erstkontakt vorbereiten",IF($K55="Kontaktiert",IF($L55="","Datum eintragen",IF(TODAY()&gt;=$O55,"Follow-up 3 fällig",IF(TODAY()&gt;=$N55,"Follow-up 2 fällig",IF(TODAY()&gt;=$M55,"Follow-up 1 fällig","warten")))),IF($K55="Antwort","Antworten",IF($K55="Gespräch","Nachbereiten",IF($K55="Angebot","Angebot nachfassen","")))))))</f>
        <v/>
      </c>
      <c r="Q55" s="17"/>
      <c r="R55" s="13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3"/>
      <c r="K56" s="12"/>
      <c r="L56" s="14"/>
      <c r="M56" s="15" t="str">
        <f aca="false">IF($L56="","",$L56+Einstellungen!$B$3)</f>
        <v/>
      </c>
      <c r="N56" s="15" t="str">
        <f aca="false">IF($L56="","",$L56+Einstellungen!$B$4)</f>
        <v/>
      </c>
      <c r="O56" s="15" t="str">
        <f aca="false">IF($L56="","",$L56+Einstellungen!$B$5)</f>
        <v/>
      </c>
      <c r="P56" s="16" t="str">
        <f aca="true">IF($B56="","",IF(OR($K56="Gewonnen",$K56="Verloren",$K56="Kein Interesse"),"abgeschlossen",IF(OR($K56="Neu",$K56="Recherchiert",$K56=""),"Erstkontakt vorbereiten",IF($K56="Kontaktiert",IF($L56="","Datum eintragen",IF(TODAY()&gt;=$O56,"Follow-up 3 fällig",IF(TODAY()&gt;=$N56,"Follow-up 2 fällig",IF(TODAY()&gt;=$M56,"Follow-up 1 fällig","warten")))),IF($K56="Antwort","Antworten",IF($K56="Gespräch","Nachbereiten",IF($K56="Angebot","Angebot nachfassen","")))))))</f>
        <v/>
      </c>
      <c r="Q56" s="17"/>
      <c r="R56" s="13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3"/>
      <c r="K57" s="12"/>
      <c r="L57" s="14"/>
      <c r="M57" s="15" t="str">
        <f aca="false">IF($L57="","",$L57+Einstellungen!$B$3)</f>
        <v/>
      </c>
      <c r="N57" s="15" t="str">
        <f aca="false">IF($L57="","",$L57+Einstellungen!$B$4)</f>
        <v/>
      </c>
      <c r="O57" s="15" t="str">
        <f aca="false">IF($L57="","",$L57+Einstellungen!$B$5)</f>
        <v/>
      </c>
      <c r="P57" s="16" t="str">
        <f aca="true">IF($B57="","",IF(OR($K57="Gewonnen",$K57="Verloren",$K57="Kein Interesse"),"abgeschlossen",IF(OR($K57="Neu",$K57="Recherchiert",$K57=""),"Erstkontakt vorbereiten",IF($K57="Kontaktiert",IF($L57="","Datum eintragen",IF(TODAY()&gt;=$O57,"Follow-up 3 fällig",IF(TODAY()&gt;=$N57,"Follow-up 2 fällig",IF(TODAY()&gt;=$M57,"Follow-up 1 fällig","warten")))),IF($K57="Antwort","Antworten",IF($K57="Gespräch","Nachbereiten",IF($K57="Angebot","Angebot nachfassen","")))))))</f>
        <v/>
      </c>
      <c r="Q57" s="17"/>
      <c r="R57" s="13"/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3"/>
      <c r="K58" s="12"/>
      <c r="L58" s="14"/>
      <c r="M58" s="15" t="str">
        <f aca="false">IF($L58="","",$L58+Einstellungen!$B$3)</f>
        <v/>
      </c>
      <c r="N58" s="15" t="str">
        <f aca="false">IF($L58="","",$L58+Einstellungen!$B$4)</f>
        <v/>
      </c>
      <c r="O58" s="15" t="str">
        <f aca="false">IF($L58="","",$L58+Einstellungen!$B$5)</f>
        <v/>
      </c>
      <c r="P58" s="16" t="str">
        <f aca="true">IF($B58="","",IF(OR($K58="Gewonnen",$K58="Verloren",$K58="Kein Interesse"),"abgeschlossen",IF(OR($K58="Neu",$K58="Recherchiert",$K58=""),"Erstkontakt vorbereiten",IF($K58="Kontaktiert",IF($L58="","Datum eintragen",IF(TODAY()&gt;=$O58,"Follow-up 3 fällig",IF(TODAY()&gt;=$N58,"Follow-up 2 fällig",IF(TODAY()&gt;=$M58,"Follow-up 1 fällig","warten")))),IF($K58="Antwort","Antworten",IF($K58="Gespräch","Nachbereiten",IF($K58="Angebot","Angebot nachfassen","")))))))</f>
        <v/>
      </c>
      <c r="Q58" s="17"/>
      <c r="R58" s="13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3"/>
      <c r="K59" s="12"/>
      <c r="L59" s="14"/>
      <c r="M59" s="15" t="str">
        <f aca="false">IF($L59="","",$L59+Einstellungen!$B$3)</f>
        <v/>
      </c>
      <c r="N59" s="15" t="str">
        <f aca="false">IF($L59="","",$L59+Einstellungen!$B$4)</f>
        <v/>
      </c>
      <c r="O59" s="15" t="str">
        <f aca="false">IF($L59="","",$L59+Einstellungen!$B$5)</f>
        <v/>
      </c>
      <c r="P59" s="16" t="str">
        <f aca="true">IF($B59="","",IF(OR($K59="Gewonnen",$K59="Verloren",$K59="Kein Interesse"),"abgeschlossen",IF(OR($K59="Neu",$K59="Recherchiert",$K59=""),"Erstkontakt vorbereiten",IF($K59="Kontaktiert",IF($L59="","Datum eintragen",IF(TODAY()&gt;=$O59,"Follow-up 3 fällig",IF(TODAY()&gt;=$N59,"Follow-up 2 fällig",IF(TODAY()&gt;=$M59,"Follow-up 1 fällig","warten")))),IF($K59="Antwort","Antworten",IF($K59="Gespräch","Nachbereiten",IF($K59="Angebot","Angebot nachfassen","")))))))</f>
        <v/>
      </c>
      <c r="Q59" s="17"/>
      <c r="R59" s="13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3"/>
      <c r="K60" s="12"/>
      <c r="L60" s="14"/>
      <c r="M60" s="15" t="str">
        <f aca="false">IF($L60="","",$L60+Einstellungen!$B$3)</f>
        <v/>
      </c>
      <c r="N60" s="15" t="str">
        <f aca="false">IF($L60="","",$L60+Einstellungen!$B$4)</f>
        <v/>
      </c>
      <c r="O60" s="15" t="str">
        <f aca="false">IF($L60="","",$L60+Einstellungen!$B$5)</f>
        <v/>
      </c>
      <c r="P60" s="16" t="str">
        <f aca="true">IF($B60="","",IF(OR($K60="Gewonnen",$K60="Verloren",$K60="Kein Interesse"),"abgeschlossen",IF(OR($K60="Neu",$K60="Recherchiert",$K60=""),"Erstkontakt vorbereiten",IF($K60="Kontaktiert",IF($L60="","Datum eintragen",IF(TODAY()&gt;=$O60,"Follow-up 3 fällig",IF(TODAY()&gt;=$N60,"Follow-up 2 fällig",IF(TODAY()&gt;=$M60,"Follow-up 1 fällig","warten")))),IF($K60="Antwort","Antworten",IF($K60="Gespräch","Nachbereiten",IF($K60="Angebot","Angebot nachfassen","")))))))</f>
        <v/>
      </c>
      <c r="Q60" s="17"/>
      <c r="R60" s="13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3"/>
      <c r="K61" s="12"/>
      <c r="L61" s="14"/>
      <c r="M61" s="15" t="str">
        <f aca="false">IF($L61="","",$L61+Einstellungen!$B$3)</f>
        <v/>
      </c>
      <c r="N61" s="15" t="str">
        <f aca="false">IF($L61="","",$L61+Einstellungen!$B$4)</f>
        <v/>
      </c>
      <c r="O61" s="15" t="str">
        <f aca="false">IF($L61="","",$L61+Einstellungen!$B$5)</f>
        <v/>
      </c>
      <c r="P61" s="16" t="str">
        <f aca="true">IF($B61="","",IF(OR($K61="Gewonnen",$K61="Verloren",$K61="Kein Interesse"),"abgeschlossen",IF(OR($K61="Neu",$K61="Recherchiert",$K61=""),"Erstkontakt vorbereiten",IF($K61="Kontaktiert",IF($L61="","Datum eintragen",IF(TODAY()&gt;=$O61,"Follow-up 3 fällig",IF(TODAY()&gt;=$N61,"Follow-up 2 fällig",IF(TODAY()&gt;=$M61,"Follow-up 1 fällig","warten")))),IF($K61="Antwort","Antworten",IF($K61="Gespräch","Nachbereiten",IF($K61="Angebot","Angebot nachfassen","")))))))</f>
        <v/>
      </c>
      <c r="Q61" s="17"/>
      <c r="R61" s="13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3"/>
      <c r="K62" s="12"/>
      <c r="L62" s="14"/>
      <c r="M62" s="15" t="str">
        <f aca="false">IF($L62="","",$L62+Einstellungen!$B$3)</f>
        <v/>
      </c>
      <c r="N62" s="15" t="str">
        <f aca="false">IF($L62="","",$L62+Einstellungen!$B$4)</f>
        <v/>
      </c>
      <c r="O62" s="15" t="str">
        <f aca="false">IF($L62="","",$L62+Einstellungen!$B$5)</f>
        <v/>
      </c>
      <c r="P62" s="16" t="str">
        <f aca="true">IF($B62="","",IF(OR($K62="Gewonnen",$K62="Verloren",$K62="Kein Interesse"),"abgeschlossen",IF(OR($K62="Neu",$K62="Recherchiert",$K62=""),"Erstkontakt vorbereiten",IF($K62="Kontaktiert",IF($L62="","Datum eintragen",IF(TODAY()&gt;=$O62,"Follow-up 3 fällig",IF(TODAY()&gt;=$N62,"Follow-up 2 fällig",IF(TODAY()&gt;=$M62,"Follow-up 1 fällig","warten")))),IF($K62="Antwort","Antworten",IF($K62="Gespräch","Nachbereiten",IF($K62="Angebot","Angebot nachfassen","")))))))</f>
        <v/>
      </c>
      <c r="Q62" s="17"/>
      <c r="R62" s="13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3"/>
      <c r="K63" s="12"/>
      <c r="L63" s="14"/>
      <c r="M63" s="15" t="str">
        <f aca="false">IF($L63="","",$L63+Einstellungen!$B$3)</f>
        <v/>
      </c>
      <c r="N63" s="15" t="str">
        <f aca="false">IF($L63="","",$L63+Einstellungen!$B$4)</f>
        <v/>
      </c>
      <c r="O63" s="15" t="str">
        <f aca="false">IF($L63="","",$L63+Einstellungen!$B$5)</f>
        <v/>
      </c>
      <c r="P63" s="16" t="str">
        <f aca="true">IF($B63="","",IF(OR($K63="Gewonnen",$K63="Verloren",$K63="Kein Interesse"),"abgeschlossen",IF(OR($K63="Neu",$K63="Recherchiert",$K63=""),"Erstkontakt vorbereiten",IF($K63="Kontaktiert",IF($L63="","Datum eintragen",IF(TODAY()&gt;=$O63,"Follow-up 3 fällig",IF(TODAY()&gt;=$N63,"Follow-up 2 fällig",IF(TODAY()&gt;=$M63,"Follow-up 1 fällig","warten")))),IF($K63="Antwort","Antworten",IF($K63="Gespräch","Nachbereiten",IF($K63="Angebot","Angebot nachfassen","")))))))</f>
        <v/>
      </c>
      <c r="Q63" s="17"/>
      <c r="R63" s="13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3"/>
      <c r="K64" s="12"/>
      <c r="L64" s="14"/>
      <c r="M64" s="15" t="str">
        <f aca="false">IF($L64="","",$L64+Einstellungen!$B$3)</f>
        <v/>
      </c>
      <c r="N64" s="15" t="str">
        <f aca="false">IF($L64="","",$L64+Einstellungen!$B$4)</f>
        <v/>
      </c>
      <c r="O64" s="15" t="str">
        <f aca="false">IF($L64="","",$L64+Einstellungen!$B$5)</f>
        <v/>
      </c>
      <c r="P64" s="16" t="str">
        <f aca="true">IF($B64="","",IF(OR($K64="Gewonnen",$K64="Verloren",$K64="Kein Interesse"),"abgeschlossen",IF(OR($K64="Neu",$K64="Recherchiert",$K64=""),"Erstkontakt vorbereiten",IF($K64="Kontaktiert",IF($L64="","Datum eintragen",IF(TODAY()&gt;=$O64,"Follow-up 3 fällig",IF(TODAY()&gt;=$N64,"Follow-up 2 fällig",IF(TODAY()&gt;=$M64,"Follow-up 1 fällig","warten")))),IF($K64="Antwort","Antworten",IF($K64="Gespräch","Nachbereiten",IF($K64="Angebot","Angebot nachfassen","")))))))</f>
        <v/>
      </c>
      <c r="Q64" s="17"/>
      <c r="R64" s="13"/>
    </row>
    <row r="65" customFormat="false" ht="1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3"/>
      <c r="K65" s="12"/>
      <c r="L65" s="14"/>
      <c r="M65" s="15" t="str">
        <f aca="false">IF($L65="","",$L65+Einstellungen!$B$3)</f>
        <v/>
      </c>
      <c r="N65" s="15" t="str">
        <f aca="false">IF($L65="","",$L65+Einstellungen!$B$4)</f>
        <v/>
      </c>
      <c r="O65" s="15" t="str">
        <f aca="false">IF($L65="","",$L65+Einstellungen!$B$5)</f>
        <v/>
      </c>
      <c r="P65" s="16" t="str">
        <f aca="true">IF($B65="","",IF(OR($K65="Gewonnen",$K65="Verloren",$K65="Kein Interesse"),"abgeschlossen",IF(OR($K65="Neu",$K65="Recherchiert",$K65=""),"Erstkontakt vorbereiten",IF($K65="Kontaktiert",IF($L65="","Datum eintragen",IF(TODAY()&gt;=$O65,"Follow-up 3 fällig",IF(TODAY()&gt;=$N65,"Follow-up 2 fällig",IF(TODAY()&gt;=$M65,"Follow-up 1 fällig","warten")))),IF($K65="Antwort","Antworten",IF($K65="Gespräch","Nachbereiten",IF($K65="Angebot","Angebot nachfassen","")))))))</f>
        <v/>
      </c>
      <c r="Q65" s="17"/>
      <c r="R65" s="13"/>
    </row>
    <row r="66" customFormat="false" ht="1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3"/>
      <c r="K66" s="12"/>
      <c r="L66" s="14"/>
      <c r="M66" s="15" t="str">
        <f aca="false">IF($L66="","",$L66+Einstellungen!$B$3)</f>
        <v/>
      </c>
      <c r="N66" s="15" t="str">
        <f aca="false">IF($L66="","",$L66+Einstellungen!$B$4)</f>
        <v/>
      </c>
      <c r="O66" s="15" t="str">
        <f aca="false">IF($L66="","",$L66+Einstellungen!$B$5)</f>
        <v/>
      </c>
      <c r="P66" s="16" t="str">
        <f aca="true">IF($B66="","",IF(OR($K66="Gewonnen",$K66="Verloren",$K66="Kein Interesse"),"abgeschlossen",IF(OR($K66="Neu",$K66="Recherchiert",$K66=""),"Erstkontakt vorbereiten",IF($K66="Kontaktiert",IF($L66="","Datum eintragen",IF(TODAY()&gt;=$O66,"Follow-up 3 fällig",IF(TODAY()&gt;=$N66,"Follow-up 2 fällig",IF(TODAY()&gt;=$M66,"Follow-up 1 fällig","warten")))),IF($K66="Antwort","Antworten",IF($K66="Gespräch","Nachbereiten",IF($K66="Angebot","Angebot nachfassen","")))))))</f>
        <v/>
      </c>
      <c r="Q66" s="17"/>
      <c r="R66" s="13"/>
    </row>
    <row r="67" customFormat="false" ht="1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3"/>
      <c r="K67" s="12"/>
      <c r="L67" s="14"/>
      <c r="M67" s="15" t="str">
        <f aca="false">IF($L67="","",$L67+Einstellungen!$B$3)</f>
        <v/>
      </c>
      <c r="N67" s="15" t="str">
        <f aca="false">IF($L67="","",$L67+Einstellungen!$B$4)</f>
        <v/>
      </c>
      <c r="O67" s="15" t="str">
        <f aca="false">IF($L67="","",$L67+Einstellungen!$B$5)</f>
        <v/>
      </c>
      <c r="P67" s="16" t="str">
        <f aca="true">IF($B67="","",IF(OR($K67="Gewonnen",$K67="Verloren",$K67="Kein Interesse"),"abgeschlossen",IF(OR($K67="Neu",$K67="Recherchiert",$K67=""),"Erstkontakt vorbereiten",IF($K67="Kontaktiert",IF($L67="","Datum eintragen",IF(TODAY()&gt;=$O67,"Follow-up 3 fällig",IF(TODAY()&gt;=$N67,"Follow-up 2 fällig",IF(TODAY()&gt;=$M67,"Follow-up 1 fällig","warten")))),IF($K67="Antwort","Antworten",IF($K67="Gespräch","Nachbereiten",IF($K67="Angebot","Angebot nachfassen","")))))))</f>
        <v/>
      </c>
      <c r="Q67" s="17"/>
      <c r="R67" s="13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3"/>
      <c r="K68" s="12"/>
      <c r="L68" s="14"/>
      <c r="M68" s="15" t="str">
        <f aca="false">IF($L68="","",$L68+Einstellungen!$B$3)</f>
        <v/>
      </c>
      <c r="N68" s="15" t="str">
        <f aca="false">IF($L68="","",$L68+Einstellungen!$B$4)</f>
        <v/>
      </c>
      <c r="O68" s="15" t="str">
        <f aca="false">IF($L68="","",$L68+Einstellungen!$B$5)</f>
        <v/>
      </c>
      <c r="P68" s="16" t="str">
        <f aca="true">IF($B68="","",IF(OR($K68="Gewonnen",$K68="Verloren",$K68="Kein Interesse"),"abgeschlossen",IF(OR($K68="Neu",$K68="Recherchiert",$K68=""),"Erstkontakt vorbereiten",IF($K68="Kontaktiert",IF($L68="","Datum eintragen",IF(TODAY()&gt;=$O68,"Follow-up 3 fällig",IF(TODAY()&gt;=$N68,"Follow-up 2 fällig",IF(TODAY()&gt;=$M68,"Follow-up 1 fällig","warten")))),IF($K68="Antwort","Antworten",IF($K68="Gespräch","Nachbereiten",IF($K68="Angebot","Angebot nachfassen","")))))))</f>
        <v/>
      </c>
      <c r="Q68" s="17"/>
      <c r="R68" s="13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3"/>
      <c r="K69" s="12"/>
      <c r="L69" s="14"/>
      <c r="M69" s="15" t="str">
        <f aca="false">IF($L69="","",$L69+Einstellungen!$B$3)</f>
        <v/>
      </c>
      <c r="N69" s="15" t="str">
        <f aca="false">IF($L69="","",$L69+Einstellungen!$B$4)</f>
        <v/>
      </c>
      <c r="O69" s="15" t="str">
        <f aca="false">IF($L69="","",$L69+Einstellungen!$B$5)</f>
        <v/>
      </c>
      <c r="P69" s="16" t="str">
        <f aca="true">IF($B69="","",IF(OR($K69="Gewonnen",$K69="Verloren",$K69="Kein Interesse"),"abgeschlossen",IF(OR($K69="Neu",$K69="Recherchiert",$K69=""),"Erstkontakt vorbereiten",IF($K69="Kontaktiert",IF($L69="","Datum eintragen",IF(TODAY()&gt;=$O69,"Follow-up 3 fällig",IF(TODAY()&gt;=$N69,"Follow-up 2 fällig",IF(TODAY()&gt;=$M69,"Follow-up 1 fällig","warten")))),IF($K69="Antwort","Antworten",IF($K69="Gespräch","Nachbereiten",IF($K69="Angebot","Angebot nachfassen","")))))))</f>
        <v/>
      </c>
      <c r="Q69" s="17"/>
      <c r="R69" s="13"/>
    </row>
    <row r="70" customFormat="false" ht="1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3"/>
      <c r="K70" s="12"/>
      <c r="L70" s="14"/>
      <c r="M70" s="15" t="str">
        <f aca="false">IF($L70="","",$L70+Einstellungen!$B$3)</f>
        <v/>
      </c>
      <c r="N70" s="15" t="str">
        <f aca="false">IF($L70="","",$L70+Einstellungen!$B$4)</f>
        <v/>
      </c>
      <c r="O70" s="15" t="str">
        <f aca="false">IF($L70="","",$L70+Einstellungen!$B$5)</f>
        <v/>
      </c>
      <c r="P70" s="16" t="str">
        <f aca="true">IF($B70="","",IF(OR($K70="Gewonnen",$K70="Verloren",$K70="Kein Interesse"),"abgeschlossen",IF(OR($K70="Neu",$K70="Recherchiert",$K70=""),"Erstkontakt vorbereiten",IF($K70="Kontaktiert",IF($L70="","Datum eintragen",IF(TODAY()&gt;=$O70,"Follow-up 3 fällig",IF(TODAY()&gt;=$N70,"Follow-up 2 fällig",IF(TODAY()&gt;=$M70,"Follow-up 1 fällig","warten")))),IF($K70="Antwort","Antworten",IF($K70="Gespräch","Nachbereiten",IF($K70="Angebot","Angebot nachfassen","")))))))</f>
        <v/>
      </c>
      <c r="Q70" s="17"/>
      <c r="R70" s="13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3"/>
      <c r="K71" s="12"/>
      <c r="L71" s="14"/>
      <c r="M71" s="15" t="str">
        <f aca="false">IF($L71="","",$L71+Einstellungen!$B$3)</f>
        <v/>
      </c>
      <c r="N71" s="15" t="str">
        <f aca="false">IF($L71="","",$L71+Einstellungen!$B$4)</f>
        <v/>
      </c>
      <c r="O71" s="15" t="str">
        <f aca="false">IF($L71="","",$L71+Einstellungen!$B$5)</f>
        <v/>
      </c>
      <c r="P71" s="16" t="str">
        <f aca="true">IF($B71="","",IF(OR($K71="Gewonnen",$K71="Verloren",$K71="Kein Interesse"),"abgeschlossen",IF(OR($K71="Neu",$K71="Recherchiert",$K71=""),"Erstkontakt vorbereiten",IF($K71="Kontaktiert",IF($L71="","Datum eintragen",IF(TODAY()&gt;=$O71,"Follow-up 3 fällig",IF(TODAY()&gt;=$N71,"Follow-up 2 fällig",IF(TODAY()&gt;=$M71,"Follow-up 1 fällig","warten")))),IF($K71="Antwort","Antworten",IF($K71="Gespräch","Nachbereiten",IF($K71="Angebot","Angebot nachfassen","")))))))</f>
        <v/>
      </c>
      <c r="Q71" s="17"/>
      <c r="R71" s="13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3"/>
      <c r="K72" s="12"/>
      <c r="L72" s="14"/>
      <c r="M72" s="15" t="str">
        <f aca="false">IF($L72="","",$L72+Einstellungen!$B$3)</f>
        <v/>
      </c>
      <c r="N72" s="15" t="str">
        <f aca="false">IF($L72="","",$L72+Einstellungen!$B$4)</f>
        <v/>
      </c>
      <c r="O72" s="15" t="str">
        <f aca="false">IF($L72="","",$L72+Einstellungen!$B$5)</f>
        <v/>
      </c>
      <c r="P72" s="16" t="str">
        <f aca="true">IF($B72="","",IF(OR($K72="Gewonnen",$K72="Verloren",$K72="Kein Interesse"),"abgeschlossen",IF(OR($K72="Neu",$K72="Recherchiert",$K72=""),"Erstkontakt vorbereiten",IF($K72="Kontaktiert",IF($L72="","Datum eintragen",IF(TODAY()&gt;=$O72,"Follow-up 3 fällig",IF(TODAY()&gt;=$N72,"Follow-up 2 fällig",IF(TODAY()&gt;=$M72,"Follow-up 1 fällig","warten")))),IF($K72="Antwort","Antworten",IF($K72="Gespräch","Nachbereiten",IF($K72="Angebot","Angebot nachfassen","")))))))</f>
        <v/>
      </c>
      <c r="Q72" s="17"/>
      <c r="R72" s="13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3"/>
      <c r="K73" s="12"/>
      <c r="L73" s="14"/>
      <c r="M73" s="15" t="str">
        <f aca="false">IF($L73="","",$L73+Einstellungen!$B$3)</f>
        <v/>
      </c>
      <c r="N73" s="15" t="str">
        <f aca="false">IF($L73="","",$L73+Einstellungen!$B$4)</f>
        <v/>
      </c>
      <c r="O73" s="15" t="str">
        <f aca="false">IF($L73="","",$L73+Einstellungen!$B$5)</f>
        <v/>
      </c>
      <c r="P73" s="16" t="str">
        <f aca="true">IF($B73="","",IF(OR($K73="Gewonnen",$K73="Verloren",$K73="Kein Interesse"),"abgeschlossen",IF(OR($K73="Neu",$K73="Recherchiert",$K73=""),"Erstkontakt vorbereiten",IF($K73="Kontaktiert",IF($L73="","Datum eintragen",IF(TODAY()&gt;=$O73,"Follow-up 3 fällig",IF(TODAY()&gt;=$N73,"Follow-up 2 fällig",IF(TODAY()&gt;=$M73,"Follow-up 1 fällig","warten")))),IF($K73="Antwort","Antworten",IF($K73="Gespräch","Nachbereiten",IF($K73="Angebot","Angebot nachfassen","")))))))</f>
        <v/>
      </c>
      <c r="Q73" s="17"/>
      <c r="R73" s="13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3"/>
      <c r="K74" s="12"/>
      <c r="L74" s="14"/>
      <c r="M74" s="15" t="str">
        <f aca="false">IF($L74="","",$L74+Einstellungen!$B$3)</f>
        <v/>
      </c>
      <c r="N74" s="15" t="str">
        <f aca="false">IF($L74="","",$L74+Einstellungen!$B$4)</f>
        <v/>
      </c>
      <c r="O74" s="15" t="str">
        <f aca="false">IF($L74="","",$L74+Einstellungen!$B$5)</f>
        <v/>
      </c>
      <c r="P74" s="16" t="str">
        <f aca="true">IF($B74="","",IF(OR($K74="Gewonnen",$K74="Verloren",$K74="Kein Interesse"),"abgeschlossen",IF(OR($K74="Neu",$K74="Recherchiert",$K74=""),"Erstkontakt vorbereiten",IF($K74="Kontaktiert",IF($L74="","Datum eintragen",IF(TODAY()&gt;=$O74,"Follow-up 3 fällig",IF(TODAY()&gt;=$N74,"Follow-up 2 fällig",IF(TODAY()&gt;=$M74,"Follow-up 1 fällig","warten")))),IF($K74="Antwort","Antworten",IF($K74="Gespräch","Nachbereiten",IF($K74="Angebot","Angebot nachfassen","")))))))</f>
        <v/>
      </c>
      <c r="Q74" s="17"/>
      <c r="R74" s="13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3"/>
      <c r="K75" s="12"/>
      <c r="L75" s="14"/>
      <c r="M75" s="15" t="str">
        <f aca="false">IF($L75="","",$L75+Einstellungen!$B$3)</f>
        <v/>
      </c>
      <c r="N75" s="15" t="str">
        <f aca="false">IF($L75="","",$L75+Einstellungen!$B$4)</f>
        <v/>
      </c>
      <c r="O75" s="15" t="str">
        <f aca="false">IF($L75="","",$L75+Einstellungen!$B$5)</f>
        <v/>
      </c>
      <c r="P75" s="16" t="str">
        <f aca="true">IF($B75="","",IF(OR($K75="Gewonnen",$K75="Verloren",$K75="Kein Interesse"),"abgeschlossen",IF(OR($K75="Neu",$K75="Recherchiert",$K75=""),"Erstkontakt vorbereiten",IF($K75="Kontaktiert",IF($L75="","Datum eintragen",IF(TODAY()&gt;=$O75,"Follow-up 3 fällig",IF(TODAY()&gt;=$N75,"Follow-up 2 fällig",IF(TODAY()&gt;=$M75,"Follow-up 1 fällig","warten")))),IF($K75="Antwort","Antworten",IF($K75="Gespräch","Nachbereiten",IF($K75="Angebot","Angebot nachfassen","")))))))</f>
        <v/>
      </c>
      <c r="Q75" s="17"/>
      <c r="R75" s="13"/>
    </row>
    <row r="76" customFormat="false" ht="1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3"/>
      <c r="K76" s="12"/>
      <c r="L76" s="14"/>
      <c r="M76" s="15" t="str">
        <f aca="false">IF($L76="","",$L76+Einstellungen!$B$3)</f>
        <v/>
      </c>
      <c r="N76" s="15" t="str">
        <f aca="false">IF($L76="","",$L76+Einstellungen!$B$4)</f>
        <v/>
      </c>
      <c r="O76" s="15" t="str">
        <f aca="false">IF($L76="","",$L76+Einstellungen!$B$5)</f>
        <v/>
      </c>
      <c r="P76" s="16" t="str">
        <f aca="true">IF($B76="","",IF(OR($K76="Gewonnen",$K76="Verloren",$K76="Kein Interesse"),"abgeschlossen",IF(OR($K76="Neu",$K76="Recherchiert",$K76=""),"Erstkontakt vorbereiten",IF($K76="Kontaktiert",IF($L76="","Datum eintragen",IF(TODAY()&gt;=$O76,"Follow-up 3 fällig",IF(TODAY()&gt;=$N76,"Follow-up 2 fällig",IF(TODAY()&gt;=$M76,"Follow-up 1 fällig","warten")))),IF($K76="Antwort","Antworten",IF($K76="Gespräch","Nachbereiten",IF($K76="Angebot","Angebot nachfassen","")))))))</f>
        <v/>
      </c>
      <c r="Q76" s="17"/>
      <c r="R76" s="13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3"/>
      <c r="K77" s="12"/>
      <c r="L77" s="14"/>
      <c r="M77" s="15" t="str">
        <f aca="false">IF($L77="","",$L77+Einstellungen!$B$3)</f>
        <v/>
      </c>
      <c r="N77" s="15" t="str">
        <f aca="false">IF($L77="","",$L77+Einstellungen!$B$4)</f>
        <v/>
      </c>
      <c r="O77" s="15" t="str">
        <f aca="false">IF($L77="","",$L77+Einstellungen!$B$5)</f>
        <v/>
      </c>
      <c r="P77" s="16" t="str">
        <f aca="true">IF($B77="","",IF(OR($K77="Gewonnen",$K77="Verloren",$K77="Kein Interesse"),"abgeschlossen",IF(OR($K77="Neu",$K77="Recherchiert",$K77=""),"Erstkontakt vorbereiten",IF($K77="Kontaktiert",IF($L77="","Datum eintragen",IF(TODAY()&gt;=$O77,"Follow-up 3 fällig",IF(TODAY()&gt;=$N77,"Follow-up 2 fällig",IF(TODAY()&gt;=$M77,"Follow-up 1 fällig","warten")))),IF($K77="Antwort","Antworten",IF($K77="Gespräch","Nachbereiten",IF($K77="Angebot","Angebot nachfassen","")))))))</f>
        <v/>
      </c>
      <c r="Q77" s="17"/>
      <c r="R77" s="13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3"/>
      <c r="K78" s="12"/>
      <c r="L78" s="14"/>
      <c r="M78" s="15" t="str">
        <f aca="false">IF($L78="","",$L78+Einstellungen!$B$3)</f>
        <v/>
      </c>
      <c r="N78" s="15" t="str">
        <f aca="false">IF($L78="","",$L78+Einstellungen!$B$4)</f>
        <v/>
      </c>
      <c r="O78" s="15" t="str">
        <f aca="false">IF($L78="","",$L78+Einstellungen!$B$5)</f>
        <v/>
      </c>
      <c r="P78" s="16" t="str">
        <f aca="true">IF($B78="","",IF(OR($K78="Gewonnen",$K78="Verloren",$K78="Kein Interesse"),"abgeschlossen",IF(OR($K78="Neu",$K78="Recherchiert",$K78=""),"Erstkontakt vorbereiten",IF($K78="Kontaktiert",IF($L78="","Datum eintragen",IF(TODAY()&gt;=$O78,"Follow-up 3 fällig",IF(TODAY()&gt;=$N78,"Follow-up 2 fällig",IF(TODAY()&gt;=$M78,"Follow-up 1 fällig","warten")))),IF($K78="Antwort","Antworten",IF($K78="Gespräch","Nachbereiten",IF($K78="Angebot","Angebot nachfassen","")))))))</f>
        <v/>
      </c>
      <c r="Q78" s="17"/>
      <c r="R78" s="13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3"/>
      <c r="K79" s="12"/>
      <c r="L79" s="14"/>
      <c r="M79" s="15" t="str">
        <f aca="false">IF($L79="","",$L79+Einstellungen!$B$3)</f>
        <v/>
      </c>
      <c r="N79" s="15" t="str">
        <f aca="false">IF($L79="","",$L79+Einstellungen!$B$4)</f>
        <v/>
      </c>
      <c r="O79" s="15" t="str">
        <f aca="false">IF($L79="","",$L79+Einstellungen!$B$5)</f>
        <v/>
      </c>
      <c r="P79" s="16" t="str">
        <f aca="true">IF($B79="","",IF(OR($K79="Gewonnen",$K79="Verloren",$K79="Kein Interesse"),"abgeschlossen",IF(OR($K79="Neu",$K79="Recherchiert",$K79=""),"Erstkontakt vorbereiten",IF($K79="Kontaktiert",IF($L79="","Datum eintragen",IF(TODAY()&gt;=$O79,"Follow-up 3 fällig",IF(TODAY()&gt;=$N79,"Follow-up 2 fällig",IF(TODAY()&gt;=$M79,"Follow-up 1 fällig","warten")))),IF($K79="Antwort","Antworten",IF($K79="Gespräch","Nachbereiten",IF($K79="Angebot","Angebot nachfassen","")))))))</f>
        <v/>
      </c>
      <c r="Q79" s="17"/>
      <c r="R79" s="13"/>
    </row>
    <row r="80" customFormat="false" ht="1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3"/>
      <c r="K80" s="12"/>
      <c r="L80" s="14"/>
      <c r="M80" s="15" t="str">
        <f aca="false">IF($L80="","",$L80+Einstellungen!$B$3)</f>
        <v/>
      </c>
      <c r="N80" s="15" t="str">
        <f aca="false">IF($L80="","",$L80+Einstellungen!$B$4)</f>
        <v/>
      </c>
      <c r="O80" s="15" t="str">
        <f aca="false">IF($L80="","",$L80+Einstellungen!$B$5)</f>
        <v/>
      </c>
      <c r="P80" s="16" t="str">
        <f aca="true">IF($B80="","",IF(OR($K80="Gewonnen",$K80="Verloren",$K80="Kein Interesse"),"abgeschlossen",IF(OR($K80="Neu",$K80="Recherchiert",$K80=""),"Erstkontakt vorbereiten",IF($K80="Kontaktiert",IF($L80="","Datum eintragen",IF(TODAY()&gt;=$O80,"Follow-up 3 fällig",IF(TODAY()&gt;=$N80,"Follow-up 2 fällig",IF(TODAY()&gt;=$M80,"Follow-up 1 fällig","warten")))),IF($K80="Antwort","Antworten",IF($K80="Gespräch","Nachbereiten",IF($K80="Angebot","Angebot nachfassen","")))))))</f>
        <v/>
      </c>
      <c r="Q80" s="17"/>
      <c r="R80" s="13"/>
    </row>
    <row r="81" customFormat="false" ht="1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3"/>
      <c r="K81" s="12"/>
      <c r="L81" s="14"/>
      <c r="M81" s="15" t="str">
        <f aca="false">IF($L81="","",$L81+Einstellungen!$B$3)</f>
        <v/>
      </c>
      <c r="N81" s="15" t="str">
        <f aca="false">IF($L81="","",$L81+Einstellungen!$B$4)</f>
        <v/>
      </c>
      <c r="O81" s="15" t="str">
        <f aca="false">IF($L81="","",$L81+Einstellungen!$B$5)</f>
        <v/>
      </c>
      <c r="P81" s="16" t="str">
        <f aca="true">IF($B81="","",IF(OR($K81="Gewonnen",$K81="Verloren",$K81="Kein Interesse"),"abgeschlossen",IF(OR($K81="Neu",$K81="Recherchiert",$K81=""),"Erstkontakt vorbereiten",IF($K81="Kontaktiert",IF($L81="","Datum eintragen",IF(TODAY()&gt;=$O81,"Follow-up 3 fällig",IF(TODAY()&gt;=$N81,"Follow-up 2 fällig",IF(TODAY()&gt;=$M81,"Follow-up 1 fällig","warten")))),IF($K81="Antwort","Antworten",IF($K81="Gespräch","Nachbereiten",IF($K81="Angebot","Angebot nachfassen","")))))))</f>
        <v/>
      </c>
      <c r="Q81" s="17"/>
      <c r="R81" s="13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3"/>
      <c r="K82" s="12"/>
      <c r="L82" s="14"/>
      <c r="M82" s="15" t="str">
        <f aca="false">IF($L82="","",$L82+Einstellungen!$B$3)</f>
        <v/>
      </c>
      <c r="N82" s="15" t="str">
        <f aca="false">IF($L82="","",$L82+Einstellungen!$B$4)</f>
        <v/>
      </c>
      <c r="O82" s="15" t="str">
        <f aca="false">IF($L82="","",$L82+Einstellungen!$B$5)</f>
        <v/>
      </c>
      <c r="P82" s="16" t="str">
        <f aca="true">IF($B82="","",IF(OR($K82="Gewonnen",$K82="Verloren",$K82="Kein Interesse"),"abgeschlossen",IF(OR($K82="Neu",$K82="Recherchiert",$K82=""),"Erstkontakt vorbereiten",IF($K82="Kontaktiert",IF($L82="","Datum eintragen",IF(TODAY()&gt;=$O82,"Follow-up 3 fällig",IF(TODAY()&gt;=$N82,"Follow-up 2 fällig",IF(TODAY()&gt;=$M82,"Follow-up 1 fällig","warten")))),IF($K82="Antwort","Antworten",IF($K82="Gespräch","Nachbereiten",IF($K82="Angebot","Angebot nachfassen","")))))))</f>
        <v/>
      </c>
      <c r="Q82" s="17"/>
      <c r="R82" s="13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3"/>
      <c r="K83" s="12"/>
      <c r="L83" s="14"/>
      <c r="M83" s="15" t="str">
        <f aca="false">IF($L83="","",$L83+Einstellungen!$B$3)</f>
        <v/>
      </c>
      <c r="N83" s="15" t="str">
        <f aca="false">IF($L83="","",$L83+Einstellungen!$B$4)</f>
        <v/>
      </c>
      <c r="O83" s="15" t="str">
        <f aca="false">IF($L83="","",$L83+Einstellungen!$B$5)</f>
        <v/>
      </c>
      <c r="P83" s="16" t="str">
        <f aca="true">IF($B83="","",IF(OR($K83="Gewonnen",$K83="Verloren",$K83="Kein Interesse"),"abgeschlossen",IF(OR($K83="Neu",$K83="Recherchiert",$K83=""),"Erstkontakt vorbereiten",IF($K83="Kontaktiert",IF($L83="","Datum eintragen",IF(TODAY()&gt;=$O83,"Follow-up 3 fällig",IF(TODAY()&gt;=$N83,"Follow-up 2 fällig",IF(TODAY()&gt;=$M83,"Follow-up 1 fällig","warten")))),IF($K83="Antwort","Antworten",IF($K83="Gespräch","Nachbereiten",IF($K83="Angebot","Angebot nachfassen","")))))))</f>
        <v/>
      </c>
      <c r="Q83" s="17"/>
      <c r="R83" s="13"/>
    </row>
    <row r="84" customFormat="false" ht="1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3"/>
      <c r="K84" s="12"/>
      <c r="L84" s="14"/>
      <c r="M84" s="15" t="str">
        <f aca="false">IF($L84="","",$L84+Einstellungen!$B$3)</f>
        <v/>
      </c>
      <c r="N84" s="15" t="str">
        <f aca="false">IF($L84="","",$L84+Einstellungen!$B$4)</f>
        <v/>
      </c>
      <c r="O84" s="15" t="str">
        <f aca="false">IF($L84="","",$L84+Einstellungen!$B$5)</f>
        <v/>
      </c>
      <c r="P84" s="16" t="str">
        <f aca="true">IF($B84="","",IF(OR($K84="Gewonnen",$K84="Verloren",$K84="Kein Interesse"),"abgeschlossen",IF(OR($K84="Neu",$K84="Recherchiert",$K84=""),"Erstkontakt vorbereiten",IF($K84="Kontaktiert",IF($L84="","Datum eintragen",IF(TODAY()&gt;=$O84,"Follow-up 3 fällig",IF(TODAY()&gt;=$N84,"Follow-up 2 fällig",IF(TODAY()&gt;=$M84,"Follow-up 1 fällig","warten")))),IF($K84="Antwort","Antworten",IF($K84="Gespräch","Nachbereiten",IF($K84="Angebot","Angebot nachfassen","")))))))</f>
        <v/>
      </c>
      <c r="Q84" s="17"/>
      <c r="R84" s="13"/>
    </row>
    <row r="85" customFormat="false" ht="1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3"/>
      <c r="K85" s="12"/>
      <c r="L85" s="14"/>
      <c r="M85" s="15" t="str">
        <f aca="false">IF($L85="","",$L85+Einstellungen!$B$3)</f>
        <v/>
      </c>
      <c r="N85" s="15" t="str">
        <f aca="false">IF($L85="","",$L85+Einstellungen!$B$4)</f>
        <v/>
      </c>
      <c r="O85" s="15" t="str">
        <f aca="false">IF($L85="","",$L85+Einstellungen!$B$5)</f>
        <v/>
      </c>
      <c r="P85" s="16" t="str">
        <f aca="true">IF($B85="","",IF(OR($K85="Gewonnen",$K85="Verloren",$K85="Kein Interesse"),"abgeschlossen",IF(OR($K85="Neu",$K85="Recherchiert",$K85=""),"Erstkontakt vorbereiten",IF($K85="Kontaktiert",IF($L85="","Datum eintragen",IF(TODAY()&gt;=$O85,"Follow-up 3 fällig",IF(TODAY()&gt;=$N85,"Follow-up 2 fällig",IF(TODAY()&gt;=$M85,"Follow-up 1 fällig","warten")))),IF($K85="Antwort","Antworten",IF($K85="Gespräch","Nachbereiten",IF($K85="Angebot","Angebot nachfassen","")))))))</f>
        <v/>
      </c>
      <c r="Q85" s="17"/>
      <c r="R85" s="13"/>
    </row>
    <row r="86" customFormat="false" ht="1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3"/>
      <c r="K86" s="12"/>
      <c r="L86" s="14"/>
      <c r="M86" s="15" t="str">
        <f aca="false">IF($L86="","",$L86+Einstellungen!$B$3)</f>
        <v/>
      </c>
      <c r="N86" s="15" t="str">
        <f aca="false">IF($L86="","",$L86+Einstellungen!$B$4)</f>
        <v/>
      </c>
      <c r="O86" s="15" t="str">
        <f aca="false">IF($L86="","",$L86+Einstellungen!$B$5)</f>
        <v/>
      </c>
      <c r="P86" s="16" t="str">
        <f aca="true">IF($B86="","",IF(OR($K86="Gewonnen",$K86="Verloren",$K86="Kein Interesse"),"abgeschlossen",IF(OR($K86="Neu",$K86="Recherchiert",$K86=""),"Erstkontakt vorbereiten",IF($K86="Kontaktiert",IF($L86="","Datum eintragen",IF(TODAY()&gt;=$O86,"Follow-up 3 fällig",IF(TODAY()&gt;=$N86,"Follow-up 2 fällig",IF(TODAY()&gt;=$M86,"Follow-up 1 fällig","warten")))),IF($K86="Antwort","Antworten",IF($K86="Gespräch","Nachbereiten",IF($K86="Angebot","Angebot nachfassen","")))))))</f>
        <v/>
      </c>
      <c r="Q86" s="17"/>
      <c r="R86" s="13"/>
    </row>
    <row r="87" customFormat="false" ht="15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3"/>
      <c r="K87" s="12"/>
      <c r="L87" s="14"/>
      <c r="M87" s="15" t="str">
        <f aca="false">IF($L87="","",$L87+Einstellungen!$B$3)</f>
        <v/>
      </c>
      <c r="N87" s="15" t="str">
        <f aca="false">IF($L87="","",$L87+Einstellungen!$B$4)</f>
        <v/>
      </c>
      <c r="O87" s="15" t="str">
        <f aca="false">IF($L87="","",$L87+Einstellungen!$B$5)</f>
        <v/>
      </c>
      <c r="P87" s="16" t="str">
        <f aca="true">IF($B87="","",IF(OR($K87="Gewonnen",$K87="Verloren",$K87="Kein Interesse"),"abgeschlossen",IF(OR($K87="Neu",$K87="Recherchiert",$K87=""),"Erstkontakt vorbereiten",IF($K87="Kontaktiert",IF($L87="","Datum eintragen",IF(TODAY()&gt;=$O87,"Follow-up 3 fällig",IF(TODAY()&gt;=$N87,"Follow-up 2 fällig",IF(TODAY()&gt;=$M87,"Follow-up 1 fällig","warten")))),IF($K87="Antwort","Antworten",IF($K87="Gespräch","Nachbereiten",IF($K87="Angebot","Angebot nachfassen","")))))))</f>
        <v/>
      </c>
      <c r="Q87" s="17"/>
      <c r="R87" s="13"/>
    </row>
    <row r="88" customFormat="false" ht="15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3"/>
      <c r="K88" s="12"/>
      <c r="L88" s="14"/>
      <c r="M88" s="15" t="str">
        <f aca="false">IF($L88="","",$L88+Einstellungen!$B$3)</f>
        <v/>
      </c>
      <c r="N88" s="15" t="str">
        <f aca="false">IF($L88="","",$L88+Einstellungen!$B$4)</f>
        <v/>
      </c>
      <c r="O88" s="15" t="str">
        <f aca="false">IF($L88="","",$L88+Einstellungen!$B$5)</f>
        <v/>
      </c>
      <c r="P88" s="16" t="str">
        <f aca="true">IF($B88="","",IF(OR($K88="Gewonnen",$K88="Verloren",$K88="Kein Interesse"),"abgeschlossen",IF(OR($K88="Neu",$K88="Recherchiert",$K88=""),"Erstkontakt vorbereiten",IF($K88="Kontaktiert",IF($L88="","Datum eintragen",IF(TODAY()&gt;=$O88,"Follow-up 3 fällig",IF(TODAY()&gt;=$N88,"Follow-up 2 fällig",IF(TODAY()&gt;=$M88,"Follow-up 1 fällig","warten")))),IF($K88="Antwort","Antworten",IF($K88="Gespräch","Nachbereiten",IF($K88="Angebot","Angebot nachfassen","")))))))</f>
        <v/>
      </c>
      <c r="Q88" s="17"/>
      <c r="R88" s="13"/>
    </row>
    <row r="89" customFormat="false" ht="15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3"/>
      <c r="K89" s="12"/>
      <c r="L89" s="14"/>
      <c r="M89" s="15" t="str">
        <f aca="false">IF($L89="","",$L89+Einstellungen!$B$3)</f>
        <v/>
      </c>
      <c r="N89" s="15" t="str">
        <f aca="false">IF($L89="","",$L89+Einstellungen!$B$4)</f>
        <v/>
      </c>
      <c r="O89" s="15" t="str">
        <f aca="false">IF($L89="","",$L89+Einstellungen!$B$5)</f>
        <v/>
      </c>
      <c r="P89" s="16" t="str">
        <f aca="true">IF($B89="","",IF(OR($K89="Gewonnen",$K89="Verloren",$K89="Kein Interesse"),"abgeschlossen",IF(OR($K89="Neu",$K89="Recherchiert",$K89=""),"Erstkontakt vorbereiten",IF($K89="Kontaktiert",IF($L89="","Datum eintragen",IF(TODAY()&gt;=$O89,"Follow-up 3 fällig",IF(TODAY()&gt;=$N89,"Follow-up 2 fällig",IF(TODAY()&gt;=$M89,"Follow-up 1 fällig","warten")))),IF($K89="Antwort","Antworten",IF($K89="Gespräch","Nachbereiten",IF($K89="Angebot","Angebot nachfassen","")))))))</f>
        <v/>
      </c>
      <c r="Q89" s="17"/>
      <c r="R89" s="13"/>
    </row>
    <row r="90" customFormat="false" ht="15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3"/>
      <c r="K90" s="12"/>
      <c r="L90" s="14"/>
      <c r="M90" s="15" t="str">
        <f aca="false">IF($L90="","",$L90+Einstellungen!$B$3)</f>
        <v/>
      </c>
      <c r="N90" s="15" t="str">
        <f aca="false">IF($L90="","",$L90+Einstellungen!$B$4)</f>
        <v/>
      </c>
      <c r="O90" s="15" t="str">
        <f aca="false">IF($L90="","",$L90+Einstellungen!$B$5)</f>
        <v/>
      </c>
      <c r="P90" s="16" t="str">
        <f aca="true">IF($B90="","",IF(OR($K90="Gewonnen",$K90="Verloren",$K90="Kein Interesse"),"abgeschlossen",IF(OR($K90="Neu",$K90="Recherchiert",$K90=""),"Erstkontakt vorbereiten",IF($K90="Kontaktiert",IF($L90="","Datum eintragen",IF(TODAY()&gt;=$O90,"Follow-up 3 fällig",IF(TODAY()&gt;=$N90,"Follow-up 2 fällig",IF(TODAY()&gt;=$M90,"Follow-up 1 fällig","warten")))),IF($K90="Antwort","Antworten",IF($K90="Gespräch","Nachbereiten",IF($K90="Angebot","Angebot nachfassen","")))))))</f>
        <v/>
      </c>
      <c r="Q90" s="17"/>
      <c r="R90" s="13"/>
    </row>
    <row r="91" customFormat="false" ht="15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3"/>
      <c r="K91" s="12"/>
      <c r="L91" s="14"/>
      <c r="M91" s="15" t="str">
        <f aca="false">IF($L91="","",$L91+Einstellungen!$B$3)</f>
        <v/>
      </c>
      <c r="N91" s="15" t="str">
        <f aca="false">IF($L91="","",$L91+Einstellungen!$B$4)</f>
        <v/>
      </c>
      <c r="O91" s="15" t="str">
        <f aca="false">IF($L91="","",$L91+Einstellungen!$B$5)</f>
        <v/>
      </c>
      <c r="P91" s="16" t="str">
        <f aca="true">IF($B91="","",IF(OR($K91="Gewonnen",$K91="Verloren",$K91="Kein Interesse"),"abgeschlossen",IF(OR($K91="Neu",$K91="Recherchiert",$K91=""),"Erstkontakt vorbereiten",IF($K91="Kontaktiert",IF($L91="","Datum eintragen",IF(TODAY()&gt;=$O91,"Follow-up 3 fällig",IF(TODAY()&gt;=$N91,"Follow-up 2 fällig",IF(TODAY()&gt;=$M91,"Follow-up 1 fällig","warten")))),IF($K91="Antwort","Antworten",IF($K91="Gespräch","Nachbereiten",IF($K91="Angebot","Angebot nachfassen","")))))))</f>
        <v/>
      </c>
      <c r="Q91" s="17"/>
      <c r="R91" s="13"/>
    </row>
    <row r="92" customFormat="false" ht="15" hidden="false" customHeight="tru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3"/>
      <c r="K92" s="12"/>
      <c r="L92" s="14"/>
      <c r="M92" s="15" t="str">
        <f aca="false">IF($L92="","",$L92+Einstellungen!$B$3)</f>
        <v/>
      </c>
      <c r="N92" s="15" t="str">
        <f aca="false">IF($L92="","",$L92+Einstellungen!$B$4)</f>
        <v/>
      </c>
      <c r="O92" s="15" t="str">
        <f aca="false">IF($L92="","",$L92+Einstellungen!$B$5)</f>
        <v/>
      </c>
      <c r="P92" s="16" t="str">
        <f aca="true">IF($B92="","",IF(OR($K92="Gewonnen",$K92="Verloren",$K92="Kein Interesse"),"abgeschlossen",IF(OR($K92="Neu",$K92="Recherchiert",$K92=""),"Erstkontakt vorbereiten",IF($K92="Kontaktiert",IF($L92="","Datum eintragen",IF(TODAY()&gt;=$O92,"Follow-up 3 fällig",IF(TODAY()&gt;=$N92,"Follow-up 2 fällig",IF(TODAY()&gt;=$M92,"Follow-up 1 fällig","warten")))),IF($K92="Antwort","Antworten",IF($K92="Gespräch","Nachbereiten",IF($K92="Angebot","Angebot nachfassen","")))))))</f>
        <v/>
      </c>
      <c r="Q92" s="17"/>
      <c r="R92" s="13"/>
    </row>
    <row r="93" customFormat="false" ht="15" hidden="false" customHeight="tru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3"/>
      <c r="K93" s="12"/>
      <c r="L93" s="14"/>
      <c r="M93" s="15" t="str">
        <f aca="false">IF($L93="","",$L93+Einstellungen!$B$3)</f>
        <v/>
      </c>
      <c r="N93" s="15" t="str">
        <f aca="false">IF($L93="","",$L93+Einstellungen!$B$4)</f>
        <v/>
      </c>
      <c r="O93" s="15" t="str">
        <f aca="false">IF($L93="","",$L93+Einstellungen!$B$5)</f>
        <v/>
      </c>
      <c r="P93" s="16" t="str">
        <f aca="true">IF($B93="","",IF(OR($K93="Gewonnen",$K93="Verloren",$K93="Kein Interesse"),"abgeschlossen",IF(OR($K93="Neu",$K93="Recherchiert",$K93=""),"Erstkontakt vorbereiten",IF($K93="Kontaktiert",IF($L93="","Datum eintragen",IF(TODAY()&gt;=$O93,"Follow-up 3 fällig",IF(TODAY()&gt;=$N93,"Follow-up 2 fällig",IF(TODAY()&gt;=$M93,"Follow-up 1 fällig","warten")))),IF($K93="Antwort","Antworten",IF($K93="Gespräch","Nachbereiten",IF($K93="Angebot","Angebot nachfassen","")))))))</f>
        <v/>
      </c>
      <c r="Q93" s="17"/>
      <c r="R93" s="13"/>
    </row>
    <row r="94" customFormat="false" ht="15" hidden="false" customHeight="tru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3"/>
      <c r="K94" s="12"/>
      <c r="L94" s="14"/>
      <c r="M94" s="15" t="str">
        <f aca="false">IF($L94="","",$L94+Einstellungen!$B$3)</f>
        <v/>
      </c>
      <c r="N94" s="15" t="str">
        <f aca="false">IF($L94="","",$L94+Einstellungen!$B$4)</f>
        <v/>
      </c>
      <c r="O94" s="15" t="str">
        <f aca="false">IF($L94="","",$L94+Einstellungen!$B$5)</f>
        <v/>
      </c>
      <c r="P94" s="16" t="str">
        <f aca="true">IF($B94="","",IF(OR($K94="Gewonnen",$K94="Verloren",$K94="Kein Interesse"),"abgeschlossen",IF(OR($K94="Neu",$K94="Recherchiert",$K94=""),"Erstkontakt vorbereiten",IF($K94="Kontaktiert",IF($L94="","Datum eintragen",IF(TODAY()&gt;=$O94,"Follow-up 3 fällig",IF(TODAY()&gt;=$N94,"Follow-up 2 fällig",IF(TODAY()&gt;=$M94,"Follow-up 1 fällig","warten")))),IF($K94="Antwort","Antworten",IF($K94="Gespräch","Nachbereiten",IF($K94="Angebot","Angebot nachfassen","")))))))</f>
        <v/>
      </c>
      <c r="Q94" s="17"/>
      <c r="R94" s="13"/>
    </row>
    <row r="95" customFormat="false" ht="15" hidden="false" customHeight="tru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3"/>
      <c r="K95" s="12"/>
      <c r="L95" s="14"/>
      <c r="M95" s="15" t="str">
        <f aca="false">IF($L95="","",$L95+Einstellungen!$B$3)</f>
        <v/>
      </c>
      <c r="N95" s="15" t="str">
        <f aca="false">IF($L95="","",$L95+Einstellungen!$B$4)</f>
        <v/>
      </c>
      <c r="O95" s="15" t="str">
        <f aca="false">IF($L95="","",$L95+Einstellungen!$B$5)</f>
        <v/>
      </c>
      <c r="P95" s="16" t="str">
        <f aca="true">IF($B95="","",IF(OR($K95="Gewonnen",$K95="Verloren",$K95="Kein Interesse"),"abgeschlossen",IF(OR($K95="Neu",$K95="Recherchiert",$K95=""),"Erstkontakt vorbereiten",IF($K95="Kontaktiert",IF($L95="","Datum eintragen",IF(TODAY()&gt;=$O95,"Follow-up 3 fällig",IF(TODAY()&gt;=$N95,"Follow-up 2 fällig",IF(TODAY()&gt;=$M95,"Follow-up 1 fällig","warten")))),IF($K95="Antwort","Antworten",IF($K95="Gespräch","Nachbereiten",IF($K95="Angebot","Angebot nachfassen","")))))))</f>
        <v/>
      </c>
      <c r="Q95" s="17"/>
      <c r="R95" s="13"/>
    </row>
    <row r="96" customFormat="false" ht="15" hidden="false" customHeight="tru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3"/>
      <c r="K96" s="12"/>
      <c r="L96" s="14"/>
      <c r="M96" s="15" t="str">
        <f aca="false">IF($L96="","",$L96+Einstellungen!$B$3)</f>
        <v/>
      </c>
      <c r="N96" s="15" t="str">
        <f aca="false">IF($L96="","",$L96+Einstellungen!$B$4)</f>
        <v/>
      </c>
      <c r="O96" s="15" t="str">
        <f aca="false">IF($L96="","",$L96+Einstellungen!$B$5)</f>
        <v/>
      </c>
      <c r="P96" s="16" t="str">
        <f aca="true">IF($B96="","",IF(OR($K96="Gewonnen",$K96="Verloren",$K96="Kein Interesse"),"abgeschlossen",IF(OR($K96="Neu",$K96="Recherchiert",$K96=""),"Erstkontakt vorbereiten",IF($K96="Kontaktiert",IF($L96="","Datum eintragen",IF(TODAY()&gt;=$O96,"Follow-up 3 fällig",IF(TODAY()&gt;=$N96,"Follow-up 2 fällig",IF(TODAY()&gt;=$M96,"Follow-up 1 fällig","warten")))),IF($K96="Antwort","Antworten",IF($K96="Gespräch","Nachbereiten",IF($K96="Angebot","Angebot nachfassen","")))))))</f>
        <v/>
      </c>
      <c r="Q96" s="17"/>
      <c r="R96" s="13"/>
    </row>
    <row r="97" customFormat="false" ht="15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3"/>
      <c r="K97" s="12"/>
      <c r="L97" s="14"/>
      <c r="M97" s="15" t="str">
        <f aca="false">IF($L97="","",$L97+Einstellungen!$B$3)</f>
        <v/>
      </c>
      <c r="N97" s="15" t="str">
        <f aca="false">IF($L97="","",$L97+Einstellungen!$B$4)</f>
        <v/>
      </c>
      <c r="O97" s="15" t="str">
        <f aca="false">IF($L97="","",$L97+Einstellungen!$B$5)</f>
        <v/>
      </c>
      <c r="P97" s="16" t="str">
        <f aca="true">IF($B97="","",IF(OR($K97="Gewonnen",$K97="Verloren",$K97="Kein Interesse"),"abgeschlossen",IF(OR($K97="Neu",$K97="Recherchiert",$K97=""),"Erstkontakt vorbereiten",IF($K97="Kontaktiert",IF($L97="","Datum eintragen",IF(TODAY()&gt;=$O97,"Follow-up 3 fällig",IF(TODAY()&gt;=$N97,"Follow-up 2 fällig",IF(TODAY()&gt;=$M97,"Follow-up 1 fällig","warten")))),IF($K97="Antwort","Antworten",IF($K97="Gespräch","Nachbereiten",IF($K97="Angebot","Angebot nachfassen","")))))))</f>
        <v/>
      </c>
      <c r="Q97" s="17"/>
      <c r="R97" s="13"/>
    </row>
    <row r="98" customFormat="false" ht="1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3"/>
      <c r="K98" s="12"/>
      <c r="L98" s="14"/>
      <c r="M98" s="15" t="str">
        <f aca="false">IF($L98="","",$L98+Einstellungen!$B$3)</f>
        <v/>
      </c>
      <c r="N98" s="15" t="str">
        <f aca="false">IF($L98="","",$L98+Einstellungen!$B$4)</f>
        <v/>
      </c>
      <c r="O98" s="15" t="str">
        <f aca="false">IF($L98="","",$L98+Einstellungen!$B$5)</f>
        <v/>
      </c>
      <c r="P98" s="16" t="str">
        <f aca="true">IF($B98="","",IF(OR($K98="Gewonnen",$K98="Verloren",$K98="Kein Interesse"),"abgeschlossen",IF(OR($K98="Neu",$K98="Recherchiert",$K98=""),"Erstkontakt vorbereiten",IF($K98="Kontaktiert",IF($L98="","Datum eintragen",IF(TODAY()&gt;=$O98,"Follow-up 3 fällig",IF(TODAY()&gt;=$N98,"Follow-up 2 fällig",IF(TODAY()&gt;=$M98,"Follow-up 1 fällig","warten")))),IF($K98="Antwort","Antworten",IF($K98="Gespräch","Nachbereiten",IF($K98="Angebot","Angebot nachfassen","")))))))</f>
        <v/>
      </c>
      <c r="Q98" s="17"/>
      <c r="R98" s="13"/>
    </row>
    <row r="99" customFormat="false" ht="15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3"/>
      <c r="K99" s="12"/>
      <c r="L99" s="14"/>
      <c r="M99" s="15" t="str">
        <f aca="false">IF($L99="","",$L99+Einstellungen!$B$3)</f>
        <v/>
      </c>
      <c r="N99" s="15" t="str">
        <f aca="false">IF($L99="","",$L99+Einstellungen!$B$4)</f>
        <v/>
      </c>
      <c r="O99" s="15" t="str">
        <f aca="false">IF($L99="","",$L99+Einstellungen!$B$5)</f>
        <v/>
      </c>
      <c r="P99" s="16" t="str">
        <f aca="true">IF($B99="","",IF(OR($K99="Gewonnen",$K99="Verloren",$K99="Kein Interesse"),"abgeschlossen",IF(OR($K99="Neu",$K99="Recherchiert",$K99=""),"Erstkontakt vorbereiten",IF($K99="Kontaktiert",IF($L99="","Datum eintragen",IF(TODAY()&gt;=$O99,"Follow-up 3 fällig",IF(TODAY()&gt;=$N99,"Follow-up 2 fällig",IF(TODAY()&gt;=$M99,"Follow-up 1 fällig","warten")))),IF($K99="Antwort","Antworten",IF($K99="Gespräch","Nachbereiten",IF($K99="Angebot","Angebot nachfassen","")))))))</f>
        <v/>
      </c>
      <c r="Q99" s="17"/>
      <c r="R99" s="13"/>
    </row>
    <row r="100" customFormat="false" ht="1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3"/>
      <c r="K100" s="12"/>
      <c r="L100" s="14"/>
      <c r="M100" s="15" t="str">
        <f aca="false">IF($L100="","",$L100+Einstellungen!$B$3)</f>
        <v/>
      </c>
      <c r="N100" s="15" t="str">
        <f aca="false">IF($L100="","",$L100+Einstellungen!$B$4)</f>
        <v/>
      </c>
      <c r="O100" s="15" t="str">
        <f aca="false">IF($L100="","",$L100+Einstellungen!$B$5)</f>
        <v/>
      </c>
      <c r="P100" s="16" t="str">
        <f aca="true">IF($B100="","",IF(OR($K100="Gewonnen",$K100="Verloren",$K100="Kein Interesse"),"abgeschlossen",IF(OR($K100="Neu",$K100="Recherchiert",$K100=""),"Erstkontakt vorbereiten",IF($K100="Kontaktiert",IF($L100="","Datum eintragen",IF(TODAY()&gt;=$O100,"Follow-up 3 fällig",IF(TODAY()&gt;=$N100,"Follow-up 2 fällig",IF(TODAY()&gt;=$M100,"Follow-up 1 fällig","warten")))),IF($K100="Antwort","Antworten",IF($K100="Gespräch","Nachbereiten",IF($K100="Angebot","Angebot nachfassen","")))))))</f>
        <v/>
      </c>
      <c r="Q100" s="17"/>
      <c r="R100" s="13"/>
    </row>
    <row r="101" customFormat="false" ht="15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3"/>
      <c r="K101" s="12"/>
      <c r="L101" s="14"/>
      <c r="M101" s="15" t="str">
        <f aca="false">IF($L101="","",$L101+Einstellungen!$B$3)</f>
        <v/>
      </c>
      <c r="N101" s="15" t="str">
        <f aca="false">IF($L101="","",$L101+Einstellungen!$B$4)</f>
        <v/>
      </c>
      <c r="O101" s="15" t="str">
        <f aca="false">IF($L101="","",$L101+Einstellungen!$B$5)</f>
        <v/>
      </c>
      <c r="P101" s="16" t="str">
        <f aca="true">IF($B101="","",IF(OR($K101="Gewonnen",$K101="Verloren",$K101="Kein Interesse"),"abgeschlossen",IF(OR($K101="Neu",$K101="Recherchiert",$K101=""),"Erstkontakt vorbereiten",IF($K101="Kontaktiert",IF($L101="","Datum eintragen",IF(TODAY()&gt;=$O101,"Follow-up 3 fällig",IF(TODAY()&gt;=$N101,"Follow-up 2 fällig",IF(TODAY()&gt;=$M101,"Follow-up 1 fällig","warten")))),IF($K101="Antwort","Antworten",IF($K101="Gespräch","Nachbereiten",IF($K101="Angebot","Angebot nachfassen","")))))))</f>
        <v/>
      </c>
      <c r="Q101" s="17"/>
      <c r="R101" s="13"/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3"/>
      <c r="K102" s="12"/>
      <c r="L102" s="14"/>
      <c r="M102" s="15" t="str">
        <f aca="false">IF($L102="","",$L102+Einstellungen!$B$3)</f>
        <v/>
      </c>
      <c r="N102" s="15" t="str">
        <f aca="false">IF($L102="","",$L102+Einstellungen!$B$4)</f>
        <v/>
      </c>
      <c r="O102" s="15" t="str">
        <f aca="false">IF($L102="","",$L102+Einstellungen!$B$5)</f>
        <v/>
      </c>
      <c r="P102" s="16" t="str">
        <f aca="true">IF($B102="","",IF(OR($K102="Gewonnen",$K102="Verloren",$K102="Kein Interesse"),"abgeschlossen",IF(OR($K102="Neu",$K102="Recherchiert",$K102=""),"Erstkontakt vorbereiten",IF($K102="Kontaktiert",IF($L102="","Datum eintragen",IF(TODAY()&gt;=$O102,"Follow-up 3 fällig",IF(TODAY()&gt;=$N102,"Follow-up 2 fällig",IF(TODAY()&gt;=$M102,"Follow-up 1 fällig","warten")))),IF($K102="Antwort","Antworten",IF($K102="Gespräch","Nachbereiten",IF($K102="Angebot","Angebot nachfassen","")))))))</f>
        <v/>
      </c>
      <c r="Q102" s="17"/>
      <c r="R102" s="13"/>
    </row>
    <row r="103" customFormat="false" ht="1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3"/>
      <c r="K103" s="12"/>
      <c r="L103" s="14"/>
      <c r="M103" s="15" t="str">
        <f aca="false">IF($L103="","",$L103+Einstellungen!$B$3)</f>
        <v/>
      </c>
      <c r="N103" s="15" t="str">
        <f aca="false">IF($L103="","",$L103+Einstellungen!$B$4)</f>
        <v/>
      </c>
      <c r="O103" s="15" t="str">
        <f aca="false">IF($L103="","",$L103+Einstellungen!$B$5)</f>
        <v/>
      </c>
      <c r="P103" s="16" t="str">
        <f aca="true">IF($B103="","",IF(OR($K103="Gewonnen",$K103="Verloren",$K103="Kein Interesse"),"abgeschlossen",IF(OR($K103="Neu",$K103="Recherchiert",$K103=""),"Erstkontakt vorbereiten",IF($K103="Kontaktiert",IF($L103="","Datum eintragen",IF(TODAY()&gt;=$O103,"Follow-up 3 fällig",IF(TODAY()&gt;=$N103,"Follow-up 2 fällig",IF(TODAY()&gt;=$M103,"Follow-up 1 fällig","warten")))),IF($K103="Antwort","Antworten",IF($K103="Gespräch","Nachbereiten",IF($K103="Angebot","Angebot nachfassen","")))))))</f>
        <v/>
      </c>
      <c r="Q103" s="17"/>
      <c r="R103" s="13"/>
    </row>
    <row r="104" customFormat="false" ht="15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3"/>
      <c r="K104" s="12"/>
      <c r="L104" s="14"/>
      <c r="M104" s="15" t="str">
        <f aca="false">IF($L104="","",$L104+Einstellungen!$B$3)</f>
        <v/>
      </c>
      <c r="N104" s="15" t="str">
        <f aca="false">IF($L104="","",$L104+Einstellungen!$B$4)</f>
        <v/>
      </c>
      <c r="O104" s="15" t="str">
        <f aca="false">IF($L104="","",$L104+Einstellungen!$B$5)</f>
        <v/>
      </c>
      <c r="P104" s="16" t="str">
        <f aca="true">IF($B104="","",IF(OR($K104="Gewonnen",$K104="Verloren",$K104="Kein Interesse"),"abgeschlossen",IF(OR($K104="Neu",$K104="Recherchiert",$K104=""),"Erstkontakt vorbereiten",IF($K104="Kontaktiert",IF($L104="","Datum eintragen",IF(TODAY()&gt;=$O104,"Follow-up 3 fällig",IF(TODAY()&gt;=$N104,"Follow-up 2 fällig",IF(TODAY()&gt;=$M104,"Follow-up 1 fällig","warten")))),IF($K104="Antwort","Antworten",IF($K104="Gespräch","Nachbereiten",IF($K104="Angebot","Angebot nachfassen","")))))))</f>
        <v/>
      </c>
      <c r="Q104" s="17"/>
      <c r="R104" s="13"/>
    </row>
    <row r="105" customFormat="false" ht="15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3"/>
      <c r="K105" s="12"/>
      <c r="L105" s="14"/>
      <c r="M105" s="15" t="str">
        <f aca="false">IF($L105="","",$L105+Einstellungen!$B$3)</f>
        <v/>
      </c>
      <c r="N105" s="15" t="str">
        <f aca="false">IF($L105="","",$L105+Einstellungen!$B$4)</f>
        <v/>
      </c>
      <c r="O105" s="15" t="str">
        <f aca="false">IF($L105="","",$L105+Einstellungen!$B$5)</f>
        <v/>
      </c>
      <c r="P105" s="16" t="str">
        <f aca="true">IF($B105="","",IF(OR($K105="Gewonnen",$K105="Verloren",$K105="Kein Interesse"),"abgeschlossen",IF(OR($K105="Neu",$K105="Recherchiert",$K105=""),"Erstkontakt vorbereiten",IF($K105="Kontaktiert",IF($L105="","Datum eintragen",IF(TODAY()&gt;=$O105,"Follow-up 3 fällig",IF(TODAY()&gt;=$N105,"Follow-up 2 fällig",IF(TODAY()&gt;=$M105,"Follow-up 1 fällig","warten")))),IF($K105="Antwort","Antworten",IF($K105="Gespräch","Nachbereiten",IF($K105="Angebot","Angebot nachfassen","")))))))</f>
        <v/>
      </c>
      <c r="Q105" s="17"/>
      <c r="R105" s="13"/>
    </row>
    <row r="106" customFormat="false" ht="15" hidden="false" customHeight="tru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3"/>
      <c r="K106" s="12"/>
      <c r="L106" s="14"/>
      <c r="M106" s="15" t="str">
        <f aca="false">IF($L106="","",$L106+Einstellungen!$B$3)</f>
        <v/>
      </c>
      <c r="N106" s="15" t="str">
        <f aca="false">IF($L106="","",$L106+Einstellungen!$B$4)</f>
        <v/>
      </c>
      <c r="O106" s="15" t="str">
        <f aca="false">IF($L106="","",$L106+Einstellungen!$B$5)</f>
        <v/>
      </c>
      <c r="P106" s="16" t="str">
        <f aca="true">IF($B106="","",IF(OR($K106="Gewonnen",$K106="Verloren",$K106="Kein Interesse"),"abgeschlossen",IF(OR($K106="Neu",$K106="Recherchiert",$K106=""),"Erstkontakt vorbereiten",IF($K106="Kontaktiert",IF($L106="","Datum eintragen",IF(TODAY()&gt;=$O106,"Follow-up 3 fällig",IF(TODAY()&gt;=$N106,"Follow-up 2 fällig",IF(TODAY()&gt;=$M106,"Follow-up 1 fällig","warten")))),IF($K106="Antwort","Antworten",IF($K106="Gespräch","Nachbereiten",IF($K106="Angebot","Angebot nachfassen","")))))))</f>
        <v/>
      </c>
      <c r="Q106" s="17"/>
      <c r="R106" s="13"/>
    </row>
    <row r="107" customFormat="false" ht="15" hidden="false" customHeight="tru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3"/>
      <c r="K107" s="12"/>
      <c r="L107" s="14"/>
      <c r="M107" s="15" t="str">
        <f aca="false">IF($L107="","",$L107+Einstellungen!$B$3)</f>
        <v/>
      </c>
      <c r="N107" s="15" t="str">
        <f aca="false">IF($L107="","",$L107+Einstellungen!$B$4)</f>
        <v/>
      </c>
      <c r="O107" s="15" t="str">
        <f aca="false">IF($L107="","",$L107+Einstellungen!$B$5)</f>
        <v/>
      </c>
      <c r="P107" s="16" t="str">
        <f aca="true">IF($B107="","",IF(OR($K107="Gewonnen",$K107="Verloren",$K107="Kein Interesse"),"abgeschlossen",IF(OR($K107="Neu",$K107="Recherchiert",$K107=""),"Erstkontakt vorbereiten",IF($K107="Kontaktiert",IF($L107="","Datum eintragen",IF(TODAY()&gt;=$O107,"Follow-up 3 fällig",IF(TODAY()&gt;=$N107,"Follow-up 2 fällig",IF(TODAY()&gt;=$M107,"Follow-up 1 fällig","warten")))),IF($K107="Antwort","Antworten",IF($K107="Gespräch","Nachbereiten",IF($K107="Angebot","Angebot nachfassen","")))))))</f>
        <v/>
      </c>
      <c r="Q107" s="17"/>
      <c r="R107" s="13"/>
    </row>
    <row r="108" customFormat="false" ht="15" hidden="false" customHeight="tru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3"/>
      <c r="K108" s="12"/>
      <c r="L108" s="14"/>
      <c r="M108" s="15" t="str">
        <f aca="false">IF($L108="","",$L108+Einstellungen!$B$3)</f>
        <v/>
      </c>
      <c r="N108" s="15" t="str">
        <f aca="false">IF($L108="","",$L108+Einstellungen!$B$4)</f>
        <v/>
      </c>
      <c r="O108" s="15" t="str">
        <f aca="false">IF($L108="","",$L108+Einstellungen!$B$5)</f>
        <v/>
      </c>
      <c r="P108" s="16" t="str">
        <f aca="true">IF($B108="","",IF(OR($K108="Gewonnen",$K108="Verloren",$K108="Kein Interesse"),"abgeschlossen",IF(OR($K108="Neu",$K108="Recherchiert",$K108=""),"Erstkontakt vorbereiten",IF($K108="Kontaktiert",IF($L108="","Datum eintragen",IF(TODAY()&gt;=$O108,"Follow-up 3 fällig",IF(TODAY()&gt;=$N108,"Follow-up 2 fällig",IF(TODAY()&gt;=$M108,"Follow-up 1 fällig","warten")))),IF($K108="Antwort","Antworten",IF($K108="Gespräch","Nachbereiten",IF($K108="Angebot","Angebot nachfassen","")))))))</f>
        <v/>
      </c>
      <c r="Q108" s="17"/>
      <c r="R108" s="13"/>
    </row>
    <row r="109" customFormat="false" ht="15" hidden="false" customHeight="tru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3"/>
      <c r="K109" s="12"/>
      <c r="L109" s="14"/>
      <c r="M109" s="15" t="str">
        <f aca="false">IF($L109="","",$L109+Einstellungen!$B$3)</f>
        <v/>
      </c>
      <c r="N109" s="15" t="str">
        <f aca="false">IF($L109="","",$L109+Einstellungen!$B$4)</f>
        <v/>
      </c>
      <c r="O109" s="15" t="str">
        <f aca="false">IF($L109="","",$L109+Einstellungen!$B$5)</f>
        <v/>
      </c>
      <c r="P109" s="16" t="str">
        <f aca="true">IF($B109="","",IF(OR($K109="Gewonnen",$K109="Verloren",$K109="Kein Interesse"),"abgeschlossen",IF(OR($K109="Neu",$K109="Recherchiert",$K109=""),"Erstkontakt vorbereiten",IF($K109="Kontaktiert",IF($L109="","Datum eintragen",IF(TODAY()&gt;=$O109,"Follow-up 3 fällig",IF(TODAY()&gt;=$N109,"Follow-up 2 fällig",IF(TODAY()&gt;=$M109,"Follow-up 1 fällig","warten")))),IF($K109="Antwort","Antworten",IF($K109="Gespräch","Nachbereiten",IF($K109="Angebot","Angebot nachfassen","")))))))</f>
        <v/>
      </c>
      <c r="Q109" s="17"/>
      <c r="R109" s="13"/>
    </row>
    <row r="110" customFormat="false" ht="15" hidden="false" customHeight="tru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3"/>
      <c r="K110" s="12"/>
      <c r="L110" s="14"/>
      <c r="M110" s="15" t="str">
        <f aca="false">IF($L110="","",$L110+Einstellungen!$B$3)</f>
        <v/>
      </c>
      <c r="N110" s="15" t="str">
        <f aca="false">IF($L110="","",$L110+Einstellungen!$B$4)</f>
        <v/>
      </c>
      <c r="O110" s="15" t="str">
        <f aca="false">IF($L110="","",$L110+Einstellungen!$B$5)</f>
        <v/>
      </c>
      <c r="P110" s="16" t="str">
        <f aca="true">IF($B110="","",IF(OR($K110="Gewonnen",$K110="Verloren",$K110="Kein Interesse"),"abgeschlossen",IF(OR($K110="Neu",$K110="Recherchiert",$K110=""),"Erstkontakt vorbereiten",IF($K110="Kontaktiert",IF($L110="","Datum eintragen",IF(TODAY()&gt;=$O110,"Follow-up 3 fällig",IF(TODAY()&gt;=$N110,"Follow-up 2 fällig",IF(TODAY()&gt;=$M110,"Follow-up 1 fällig","warten")))),IF($K110="Antwort","Antworten",IF($K110="Gespräch","Nachbereiten",IF($K110="Angebot","Angebot nachfassen","")))))))</f>
        <v/>
      </c>
      <c r="Q110" s="17"/>
      <c r="R110" s="13"/>
    </row>
    <row r="111" customFormat="false" ht="15" hidden="false" customHeight="tru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3"/>
      <c r="K111" s="12"/>
      <c r="L111" s="14"/>
      <c r="M111" s="15" t="str">
        <f aca="false">IF($L111="","",$L111+Einstellungen!$B$3)</f>
        <v/>
      </c>
      <c r="N111" s="15" t="str">
        <f aca="false">IF($L111="","",$L111+Einstellungen!$B$4)</f>
        <v/>
      </c>
      <c r="O111" s="15" t="str">
        <f aca="false">IF($L111="","",$L111+Einstellungen!$B$5)</f>
        <v/>
      </c>
      <c r="P111" s="16" t="str">
        <f aca="true">IF($B111="","",IF(OR($K111="Gewonnen",$K111="Verloren",$K111="Kein Interesse"),"abgeschlossen",IF(OR($K111="Neu",$K111="Recherchiert",$K111=""),"Erstkontakt vorbereiten",IF($K111="Kontaktiert",IF($L111="","Datum eintragen",IF(TODAY()&gt;=$O111,"Follow-up 3 fällig",IF(TODAY()&gt;=$N111,"Follow-up 2 fällig",IF(TODAY()&gt;=$M111,"Follow-up 1 fällig","warten")))),IF($K111="Antwort","Antworten",IF($K111="Gespräch","Nachbereiten",IF($K111="Angebot","Angebot nachfassen","")))))))</f>
        <v/>
      </c>
      <c r="Q111" s="17"/>
      <c r="R111" s="13"/>
    </row>
    <row r="112" customFormat="false" ht="15" hidden="false" customHeight="tru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3"/>
      <c r="K112" s="12"/>
      <c r="L112" s="14"/>
      <c r="M112" s="15" t="str">
        <f aca="false">IF($L112="","",$L112+Einstellungen!$B$3)</f>
        <v/>
      </c>
      <c r="N112" s="15" t="str">
        <f aca="false">IF($L112="","",$L112+Einstellungen!$B$4)</f>
        <v/>
      </c>
      <c r="O112" s="15" t="str">
        <f aca="false">IF($L112="","",$L112+Einstellungen!$B$5)</f>
        <v/>
      </c>
      <c r="P112" s="16" t="str">
        <f aca="true">IF($B112="","",IF(OR($K112="Gewonnen",$K112="Verloren",$K112="Kein Interesse"),"abgeschlossen",IF(OR($K112="Neu",$K112="Recherchiert",$K112=""),"Erstkontakt vorbereiten",IF($K112="Kontaktiert",IF($L112="","Datum eintragen",IF(TODAY()&gt;=$O112,"Follow-up 3 fällig",IF(TODAY()&gt;=$N112,"Follow-up 2 fällig",IF(TODAY()&gt;=$M112,"Follow-up 1 fällig","warten")))),IF($K112="Antwort","Antworten",IF($K112="Gespräch","Nachbereiten",IF($K112="Angebot","Angebot nachfassen","")))))))</f>
        <v/>
      </c>
      <c r="Q112" s="17"/>
      <c r="R112" s="13"/>
    </row>
    <row r="113" customFormat="false" ht="15" hidden="false" customHeight="tru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3"/>
      <c r="K113" s="12"/>
      <c r="L113" s="14"/>
      <c r="M113" s="15" t="str">
        <f aca="false">IF($L113="","",$L113+Einstellungen!$B$3)</f>
        <v/>
      </c>
      <c r="N113" s="15" t="str">
        <f aca="false">IF($L113="","",$L113+Einstellungen!$B$4)</f>
        <v/>
      </c>
      <c r="O113" s="15" t="str">
        <f aca="false">IF($L113="","",$L113+Einstellungen!$B$5)</f>
        <v/>
      </c>
      <c r="P113" s="16" t="str">
        <f aca="true">IF($B113="","",IF(OR($K113="Gewonnen",$K113="Verloren",$K113="Kein Interesse"),"abgeschlossen",IF(OR($K113="Neu",$K113="Recherchiert",$K113=""),"Erstkontakt vorbereiten",IF($K113="Kontaktiert",IF($L113="","Datum eintragen",IF(TODAY()&gt;=$O113,"Follow-up 3 fällig",IF(TODAY()&gt;=$N113,"Follow-up 2 fällig",IF(TODAY()&gt;=$M113,"Follow-up 1 fällig","warten")))),IF($K113="Antwort","Antworten",IF($K113="Gespräch","Nachbereiten",IF($K113="Angebot","Angebot nachfassen","")))))))</f>
        <v/>
      </c>
      <c r="Q113" s="17"/>
      <c r="R113" s="13"/>
    </row>
    <row r="114" customFormat="false" ht="15" hidden="false" customHeight="tru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3"/>
      <c r="K114" s="12"/>
      <c r="L114" s="14"/>
      <c r="M114" s="15" t="str">
        <f aca="false">IF($L114="","",$L114+Einstellungen!$B$3)</f>
        <v/>
      </c>
      <c r="N114" s="15" t="str">
        <f aca="false">IF($L114="","",$L114+Einstellungen!$B$4)</f>
        <v/>
      </c>
      <c r="O114" s="15" t="str">
        <f aca="false">IF($L114="","",$L114+Einstellungen!$B$5)</f>
        <v/>
      </c>
      <c r="P114" s="16" t="str">
        <f aca="true">IF($B114="","",IF(OR($K114="Gewonnen",$K114="Verloren",$K114="Kein Interesse"),"abgeschlossen",IF(OR($K114="Neu",$K114="Recherchiert",$K114=""),"Erstkontakt vorbereiten",IF($K114="Kontaktiert",IF($L114="","Datum eintragen",IF(TODAY()&gt;=$O114,"Follow-up 3 fällig",IF(TODAY()&gt;=$N114,"Follow-up 2 fällig",IF(TODAY()&gt;=$M114,"Follow-up 1 fällig","warten")))),IF($K114="Antwort","Antworten",IF($K114="Gespräch","Nachbereiten",IF($K114="Angebot","Angebot nachfassen","")))))))</f>
        <v/>
      </c>
      <c r="Q114" s="17"/>
      <c r="R114" s="13"/>
    </row>
    <row r="115" customFormat="false" ht="15" hidden="false" customHeight="tru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3"/>
      <c r="K115" s="12"/>
      <c r="L115" s="14"/>
      <c r="M115" s="15" t="str">
        <f aca="false">IF($L115="","",$L115+Einstellungen!$B$3)</f>
        <v/>
      </c>
      <c r="N115" s="15" t="str">
        <f aca="false">IF($L115="","",$L115+Einstellungen!$B$4)</f>
        <v/>
      </c>
      <c r="O115" s="15" t="str">
        <f aca="false">IF($L115="","",$L115+Einstellungen!$B$5)</f>
        <v/>
      </c>
      <c r="P115" s="16" t="str">
        <f aca="true">IF($B115="","",IF(OR($K115="Gewonnen",$K115="Verloren",$K115="Kein Interesse"),"abgeschlossen",IF(OR($K115="Neu",$K115="Recherchiert",$K115=""),"Erstkontakt vorbereiten",IF($K115="Kontaktiert",IF($L115="","Datum eintragen",IF(TODAY()&gt;=$O115,"Follow-up 3 fällig",IF(TODAY()&gt;=$N115,"Follow-up 2 fällig",IF(TODAY()&gt;=$M115,"Follow-up 1 fällig","warten")))),IF($K115="Antwort","Antworten",IF($K115="Gespräch","Nachbereiten",IF($K115="Angebot","Angebot nachfassen","")))))))</f>
        <v/>
      </c>
      <c r="Q115" s="17"/>
      <c r="R115" s="13"/>
    </row>
    <row r="116" customFormat="false" ht="15" hidden="false" customHeight="tru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3"/>
      <c r="K116" s="12"/>
      <c r="L116" s="14"/>
      <c r="M116" s="15" t="str">
        <f aca="false">IF($L116="","",$L116+Einstellungen!$B$3)</f>
        <v/>
      </c>
      <c r="N116" s="15" t="str">
        <f aca="false">IF($L116="","",$L116+Einstellungen!$B$4)</f>
        <v/>
      </c>
      <c r="O116" s="15" t="str">
        <f aca="false">IF($L116="","",$L116+Einstellungen!$B$5)</f>
        <v/>
      </c>
      <c r="P116" s="16" t="str">
        <f aca="true">IF($B116="","",IF(OR($K116="Gewonnen",$K116="Verloren",$K116="Kein Interesse"),"abgeschlossen",IF(OR($K116="Neu",$K116="Recherchiert",$K116=""),"Erstkontakt vorbereiten",IF($K116="Kontaktiert",IF($L116="","Datum eintragen",IF(TODAY()&gt;=$O116,"Follow-up 3 fällig",IF(TODAY()&gt;=$N116,"Follow-up 2 fällig",IF(TODAY()&gt;=$M116,"Follow-up 1 fällig","warten")))),IF($K116="Antwort","Antworten",IF($K116="Gespräch","Nachbereiten",IF($K116="Angebot","Angebot nachfassen","")))))))</f>
        <v/>
      </c>
      <c r="Q116" s="17"/>
      <c r="R116" s="13"/>
    </row>
    <row r="117" customFormat="false" ht="15" hidden="false" customHeight="tru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3"/>
      <c r="K117" s="12"/>
      <c r="L117" s="14"/>
      <c r="M117" s="15" t="str">
        <f aca="false">IF($L117="","",$L117+Einstellungen!$B$3)</f>
        <v/>
      </c>
      <c r="N117" s="15" t="str">
        <f aca="false">IF($L117="","",$L117+Einstellungen!$B$4)</f>
        <v/>
      </c>
      <c r="O117" s="15" t="str">
        <f aca="false">IF($L117="","",$L117+Einstellungen!$B$5)</f>
        <v/>
      </c>
      <c r="P117" s="16" t="str">
        <f aca="true">IF($B117="","",IF(OR($K117="Gewonnen",$K117="Verloren",$K117="Kein Interesse"),"abgeschlossen",IF(OR($K117="Neu",$K117="Recherchiert",$K117=""),"Erstkontakt vorbereiten",IF($K117="Kontaktiert",IF($L117="","Datum eintragen",IF(TODAY()&gt;=$O117,"Follow-up 3 fällig",IF(TODAY()&gt;=$N117,"Follow-up 2 fällig",IF(TODAY()&gt;=$M117,"Follow-up 1 fällig","warten")))),IF($K117="Antwort","Antworten",IF($K117="Gespräch","Nachbereiten",IF($K117="Angebot","Angebot nachfassen","")))))))</f>
        <v/>
      </c>
      <c r="Q117" s="17"/>
      <c r="R117" s="13"/>
    </row>
    <row r="118" customFormat="false" ht="15" hidden="false" customHeight="tru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3"/>
      <c r="K118" s="12"/>
      <c r="L118" s="14"/>
      <c r="M118" s="15" t="str">
        <f aca="false">IF($L118="","",$L118+Einstellungen!$B$3)</f>
        <v/>
      </c>
      <c r="N118" s="15" t="str">
        <f aca="false">IF($L118="","",$L118+Einstellungen!$B$4)</f>
        <v/>
      </c>
      <c r="O118" s="15" t="str">
        <f aca="false">IF($L118="","",$L118+Einstellungen!$B$5)</f>
        <v/>
      </c>
      <c r="P118" s="16" t="str">
        <f aca="true">IF($B118="","",IF(OR($K118="Gewonnen",$K118="Verloren",$K118="Kein Interesse"),"abgeschlossen",IF(OR($K118="Neu",$K118="Recherchiert",$K118=""),"Erstkontakt vorbereiten",IF($K118="Kontaktiert",IF($L118="","Datum eintragen",IF(TODAY()&gt;=$O118,"Follow-up 3 fällig",IF(TODAY()&gt;=$N118,"Follow-up 2 fällig",IF(TODAY()&gt;=$M118,"Follow-up 1 fällig","warten")))),IF($K118="Antwort","Antworten",IF($K118="Gespräch","Nachbereiten",IF($K118="Angebot","Angebot nachfassen","")))))))</f>
        <v/>
      </c>
      <c r="Q118" s="17"/>
      <c r="R118" s="13"/>
    </row>
    <row r="119" customFormat="false" ht="15" hidden="false" customHeight="tru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3"/>
      <c r="K119" s="12"/>
      <c r="L119" s="14"/>
      <c r="M119" s="15" t="str">
        <f aca="false">IF($L119="","",$L119+Einstellungen!$B$3)</f>
        <v/>
      </c>
      <c r="N119" s="15" t="str">
        <f aca="false">IF($L119="","",$L119+Einstellungen!$B$4)</f>
        <v/>
      </c>
      <c r="O119" s="15" t="str">
        <f aca="false">IF($L119="","",$L119+Einstellungen!$B$5)</f>
        <v/>
      </c>
      <c r="P119" s="16" t="str">
        <f aca="true">IF($B119="","",IF(OR($K119="Gewonnen",$K119="Verloren",$K119="Kein Interesse"),"abgeschlossen",IF(OR($K119="Neu",$K119="Recherchiert",$K119=""),"Erstkontakt vorbereiten",IF($K119="Kontaktiert",IF($L119="","Datum eintragen",IF(TODAY()&gt;=$O119,"Follow-up 3 fällig",IF(TODAY()&gt;=$N119,"Follow-up 2 fällig",IF(TODAY()&gt;=$M119,"Follow-up 1 fällig","warten")))),IF($K119="Antwort","Antworten",IF($K119="Gespräch","Nachbereiten",IF($K119="Angebot","Angebot nachfassen","")))))))</f>
        <v/>
      </c>
      <c r="Q119" s="17"/>
      <c r="R119" s="13"/>
    </row>
    <row r="120" customFormat="false" ht="15" hidden="false" customHeight="tru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3"/>
      <c r="K120" s="12"/>
      <c r="L120" s="14"/>
      <c r="M120" s="15" t="str">
        <f aca="false">IF($L120="","",$L120+Einstellungen!$B$3)</f>
        <v/>
      </c>
      <c r="N120" s="15" t="str">
        <f aca="false">IF($L120="","",$L120+Einstellungen!$B$4)</f>
        <v/>
      </c>
      <c r="O120" s="15" t="str">
        <f aca="false">IF($L120="","",$L120+Einstellungen!$B$5)</f>
        <v/>
      </c>
      <c r="P120" s="16" t="str">
        <f aca="true">IF($B120="","",IF(OR($K120="Gewonnen",$K120="Verloren",$K120="Kein Interesse"),"abgeschlossen",IF(OR($K120="Neu",$K120="Recherchiert",$K120=""),"Erstkontakt vorbereiten",IF($K120="Kontaktiert",IF($L120="","Datum eintragen",IF(TODAY()&gt;=$O120,"Follow-up 3 fällig",IF(TODAY()&gt;=$N120,"Follow-up 2 fällig",IF(TODAY()&gt;=$M120,"Follow-up 1 fällig","warten")))),IF($K120="Antwort","Antworten",IF($K120="Gespräch","Nachbereiten",IF($K120="Angebot","Angebot nachfassen","")))))))</f>
        <v/>
      </c>
      <c r="Q120" s="17"/>
      <c r="R120" s="13"/>
    </row>
    <row r="121" customFormat="false" ht="15" hidden="false" customHeight="tru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3"/>
      <c r="K121" s="12"/>
      <c r="L121" s="14"/>
      <c r="M121" s="15" t="str">
        <f aca="false">IF($L121="","",$L121+Einstellungen!$B$3)</f>
        <v/>
      </c>
      <c r="N121" s="15" t="str">
        <f aca="false">IF($L121="","",$L121+Einstellungen!$B$4)</f>
        <v/>
      </c>
      <c r="O121" s="15" t="str">
        <f aca="false">IF($L121="","",$L121+Einstellungen!$B$5)</f>
        <v/>
      </c>
      <c r="P121" s="16" t="str">
        <f aca="true">IF($B121="","",IF(OR($K121="Gewonnen",$K121="Verloren",$K121="Kein Interesse"),"abgeschlossen",IF(OR($K121="Neu",$K121="Recherchiert",$K121=""),"Erstkontakt vorbereiten",IF($K121="Kontaktiert",IF($L121="","Datum eintragen",IF(TODAY()&gt;=$O121,"Follow-up 3 fällig",IF(TODAY()&gt;=$N121,"Follow-up 2 fällig",IF(TODAY()&gt;=$M121,"Follow-up 1 fällig","warten")))),IF($K121="Antwort","Antworten",IF($K121="Gespräch","Nachbereiten",IF($K121="Angebot","Angebot nachfassen","")))))))</f>
        <v/>
      </c>
      <c r="Q121" s="17"/>
      <c r="R121" s="13"/>
    </row>
    <row r="122" customFormat="false" ht="15" hidden="false" customHeight="tru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3"/>
      <c r="K122" s="12"/>
      <c r="L122" s="14"/>
      <c r="M122" s="15" t="str">
        <f aca="false">IF($L122="","",$L122+Einstellungen!$B$3)</f>
        <v/>
      </c>
      <c r="N122" s="15" t="str">
        <f aca="false">IF($L122="","",$L122+Einstellungen!$B$4)</f>
        <v/>
      </c>
      <c r="O122" s="15" t="str">
        <f aca="false">IF($L122="","",$L122+Einstellungen!$B$5)</f>
        <v/>
      </c>
      <c r="P122" s="16" t="str">
        <f aca="true">IF($B122="","",IF(OR($K122="Gewonnen",$K122="Verloren",$K122="Kein Interesse"),"abgeschlossen",IF(OR($K122="Neu",$K122="Recherchiert",$K122=""),"Erstkontakt vorbereiten",IF($K122="Kontaktiert",IF($L122="","Datum eintragen",IF(TODAY()&gt;=$O122,"Follow-up 3 fällig",IF(TODAY()&gt;=$N122,"Follow-up 2 fällig",IF(TODAY()&gt;=$M122,"Follow-up 1 fällig","warten")))),IF($K122="Antwort","Antworten",IF($K122="Gespräch","Nachbereiten",IF($K122="Angebot","Angebot nachfassen","")))))))</f>
        <v/>
      </c>
      <c r="Q122" s="17"/>
      <c r="R122" s="13"/>
    </row>
    <row r="123" customFormat="false" ht="15" hidden="false" customHeight="tru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3"/>
      <c r="K123" s="12"/>
      <c r="L123" s="14"/>
      <c r="M123" s="15" t="str">
        <f aca="false">IF($L123="","",$L123+Einstellungen!$B$3)</f>
        <v/>
      </c>
      <c r="N123" s="15" t="str">
        <f aca="false">IF($L123="","",$L123+Einstellungen!$B$4)</f>
        <v/>
      </c>
      <c r="O123" s="15" t="str">
        <f aca="false">IF($L123="","",$L123+Einstellungen!$B$5)</f>
        <v/>
      </c>
      <c r="P123" s="16" t="str">
        <f aca="true">IF($B123="","",IF(OR($K123="Gewonnen",$K123="Verloren",$K123="Kein Interesse"),"abgeschlossen",IF(OR($K123="Neu",$K123="Recherchiert",$K123=""),"Erstkontakt vorbereiten",IF($K123="Kontaktiert",IF($L123="","Datum eintragen",IF(TODAY()&gt;=$O123,"Follow-up 3 fällig",IF(TODAY()&gt;=$N123,"Follow-up 2 fällig",IF(TODAY()&gt;=$M123,"Follow-up 1 fällig","warten")))),IF($K123="Antwort","Antworten",IF($K123="Gespräch","Nachbereiten",IF($K123="Angebot","Angebot nachfassen","")))))))</f>
        <v/>
      </c>
      <c r="Q123" s="17"/>
      <c r="R123" s="13"/>
    </row>
    <row r="124" customFormat="false" ht="15" hidden="false" customHeight="tru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3"/>
      <c r="K124" s="12"/>
      <c r="L124" s="14"/>
      <c r="M124" s="15" t="str">
        <f aca="false">IF($L124="","",$L124+Einstellungen!$B$3)</f>
        <v/>
      </c>
      <c r="N124" s="15" t="str">
        <f aca="false">IF($L124="","",$L124+Einstellungen!$B$4)</f>
        <v/>
      </c>
      <c r="O124" s="15" t="str">
        <f aca="false">IF($L124="","",$L124+Einstellungen!$B$5)</f>
        <v/>
      </c>
      <c r="P124" s="16" t="str">
        <f aca="true">IF($B124="","",IF(OR($K124="Gewonnen",$K124="Verloren",$K124="Kein Interesse"),"abgeschlossen",IF(OR($K124="Neu",$K124="Recherchiert",$K124=""),"Erstkontakt vorbereiten",IF($K124="Kontaktiert",IF($L124="","Datum eintragen",IF(TODAY()&gt;=$O124,"Follow-up 3 fällig",IF(TODAY()&gt;=$N124,"Follow-up 2 fällig",IF(TODAY()&gt;=$M124,"Follow-up 1 fällig","warten")))),IF($K124="Antwort","Antworten",IF($K124="Gespräch","Nachbereiten",IF($K124="Angebot","Angebot nachfassen","")))))))</f>
        <v/>
      </c>
      <c r="Q124" s="17"/>
      <c r="R124" s="13"/>
    </row>
    <row r="125" customFormat="false" ht="15" hidden="false" customHeight="tru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3"/>
      <c r="K125" s="12"/>
      <c r="L125" s="14"/>
      <c r="M125" s="15" t="str">
        <f aca="false">IF($L125="","",$L125+Einstellungen!$B$3)</f>
        <v/>
      </c>
      <c r="N125" s="15" t="str">
        <f aca="false">IF($L125="","",$L125+Einstellungen!$B$4)</f>
        <v/>
      </c>
      <c r="O125" s="15" t="str">
        <f aca="false">IF($L125="","",$L125+Einstellungen!$B$5)</f>
        <v/>
      </c>
      <c r="P125" s="16" t="str">
        <f aca="true">IF($B125="","",IF(OR($K125="Gewonnen",$K125="Verloren",$K125="Kein Interesse"),"abgeschlossen",IF(OR($K125="Neu",$K125="Recherchiert",$K125=""),"Erstkontakt vorbereiten",IF($K125="Kontaktiert",IF($L125="","Datum eintragen",IF(TODAY()&gt;=$O125,"Follow-up 3 fällig",IF(TODAY()&gt;=$N125,"Follow-up 2 fällig",IF(TODAY()&gt;=$M125,"Follow-up 1 fällig","warten")))),IF($K125="Antwort","Antworten",IF($K125="Gespräch","Nachbereiten",IF($K125="Angebot","Angebot nachfassen","")))))))</f>
        <v/>
      </c>
      <c r="Q125" s="17"/>
      <c r="R125" s="13"/>
    </row>
    <row r="126" customFormat="false" ht="1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3"/>
      <c r="K126" s="12"/>
      <c r="L126" s="14"/>
      <c r="M126" s="15" t="str">
        <f aca="false">IF($L126="","",$L126+Einstellungen!$B$3)</f>
        <v/>
      </c>
      <c r="N126" s="15" t="str">
        <f aca="false">IF($L126="","",$L126+Einstellungen!$B$4)</f>
        <v/>
      </c>
      <c r="O126" s="15" t="str">
        <f aca="false">IF($L126="","",$L126+Einstellungen!$B$5)</f>
        <v/>
      </c>
      <c r="P126" s="16" t="str">
        <f aca="true">IF($B126="","",IF(OR($K126="Gewonnen",$K126="Verloren",$K126="Kein Interesse"),"abgeschlossen",IF(OR($K126="Neu",$K126="Recherchiert",$K126=""),"Erstkontakt vorbereiten",IF($K126="Kontaktiert",IF($L126="","Datum eintragen",IF(TODAY()&gt;=$O126,"Follow-up 3 fällig",IF(TODAY()&gt;=$N126,"Follow-up 2 fällig",IF(TODAY()&gt;=$M126,"Follow-up 1 fällig","warten")))),IF($K126="Antwort","Antworten",IF($K126="Gespräch","Nachbereiten",IF($K126="Angebot","Angebot nachfassen","")))))))</f>
        <v/>
      </c>
      <c r="Q126" s="17"/>
      <c r="R126" s="13"/>
    </row>
    <row r="127" customFormat="false" ht="15" hidden="false" customHeight="tru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3"/>
      <c r="K127" s="12"/>
      <c r="L127" s="14"/>
      <c r="M127" s="15" t="str">
        <f aca="false">IF($L127="","",$L127+Einstellungen!$B$3)</f>
        <v/>
      </c>
      <c r="N127" s="15" t="str">
        <f aca="false">IF($L127="","",$L127+Einstellungen!$B$4)</f>
        <v/>
      </c>
      <c r="O127" s="15" t="str">
        <f aca="false">IF($L127="","",$L127+Einstellungen!$B$5)</f>
        <v/>
      </c>
      <c r="P127" s="16" t="str">
        <f aca="true">IF($B127="","",IF(OR($K127="Gewonnen",$K127="Verloren",$K127="Kein Interesse"),"abgeschlossen",IF(OR($K127="Neu",$K127="Recherchiert",$K127=""),"Erstkontakt vorbereiten",IF($K127="Kontaktiert",IF($L127="","Datum eintragen",IF(TODAY()&gt;=$O127,"Follow-up 3 fällig",IF(TODAY()&gt;=$N127,"Follow-up 2 fällig",IF(TODAY()&gt;=$M127,"Follow-up 1 fällig","warten")))),IF($K127="Antwort","Antworten",IF($K127="Gespräch","Nachbereiten",IF($K127="Angebot","Angebot nachfassen","")))))))</f>
        <v/>
      </c>
      <c r="Q127" s="17"/>
      <c r="R127" s="13"/>
    </row>
    <row r="128" customFormat="false" ht="15" hidden="false" customHeight="tru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3"/>
      <c r="K128" s="12"/>
      <c r="L128" s="14"/>
      <c r="M128" s="15" t="str">
        <f aca="false">IF($L128="","",$L128+Einstellungen!$B$3)</f>
        <v/>
      </c>
      <c r="N128" s="15" t="str">
        <f aca="false">IF($L128="","",$L128+Einstellungen!$B$4)</f>
        <v/>
      </c>
      <c r="O128" s="15" t="str">
        <f aca="false">IF($L128="","",$L128+Einstellungen!$B$5)</f>
        <v/>
      </c>
      <c r="P128" s="16" t="str">
        <f aca="true">IF($B128="","",IF(OR($K128="Gewonnen",$K128="Verloren",$K128="Kein Interesse"),"abgeschlossen",IF(OR($K128="Neu",$K128="Recherchiert",$K128=""),"Erstkontakt vorbereiten",IF($K128="Kontaktiert",IF($L128="","Datum eintragen",IF(TODAY()&gt;=$O128,"Follow-up 3 fällig",IF(TODAY()&gt;=$N128,"Follow-up 2 fällig",IF(TODAY()&gt;=$M128,"Follow-up 1 fällig","warten")))),IF($K128="Antwort","Antworten",IF($K128="Gespräch","Nachbereiten",IF($K128="Angebot","Angebot nachfassen","")))))))</f>
        <v/>
      </c>
      <c r="Q128" s="17"/>
      <c r="R128" s="13"/>
    </row>
    <row r="129" customFormat="false" ht="15" hidden="false" customHeight="tru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3"/>
      <c r="K129" s="12"/>
      <c r="L129" s="14"/>
      <c r="M129" s="15" t="str">
        <f aca="false">IF($L129="","",$L129+Einstellungen!$B$3)</f>
        <v/>
      </c>
      <c r="N129" s="15" t="str">
        <f aca="false">IF($L129="","",$L129+Einstellungen!$B$4)</f>
        <v/>
      </c>
      <c r="O129" s="15" t="str">
        <f aca="false">IF($L129="","",$L129+Einstellungen!$B$5)</f>
        <v/>
      </c>
      <c r="P129" s="16" t="str">
        <f aca="true">IF($B129="","",IF(OR($K129="Gewonnen",$K129="Verloren",$K129="Kein Interesse"),"abgeschlossen",IF(OR($K129="Neu",$K129="Recherchiert",$K129=""),"Erstkontakt vorbereiten",IF($K129="Kontaktiert",IF($L129="","Datum eintragen",IF(TODAY()&gt;=$O129,"Follow-up 3 fällig",IF(TODAY()&gt;=$N129,"Follow-up 2 fällig",IF(TODAY()&gt;=$M129,"Follow-up 1 fällig","warten")))),IF($K129="Antwort","Antworten",IF($K129="Gespräch","Nachbereiten",IF($K129="Angebot","Angebot nachfassen","")))))))</f>
        <v/>
      </c>
      <c r="Q129" s="17"/>
      <c r="R129" s="13"/>
    </row>
    <row r="130" customFormat="false" ht="15" hidden="false" customHeight="tru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3"/>
      <c r="K130" s="12"/>
      <c r="L130" s="14"/>
      <c r="M130" s="15" t="str">
        <f aca="false">IF($L130="","",$L130+Einstellungen!$B$3)</f>
        <v/>
      </c>
      <c r="N130" s="15" t="str">
        <f aca="false">IF($L130="","",$L130+Einstellungen!$B$4)</f>
        <v/>
      </c>
      <c r="O130" s="15" t="str">
        <f aca="false">IF($L130="","",$L130+Einstellungen!$B$5)</f>
        <v/>
      </c>
      <c r="P130" s="16" t="str">
        <f aca="true">IF($B130="","",IF(OR($K130="Gewonnen",$K130="Verloren",$K130="Kein Interesse"),"abgeschlossen",IF(OR($K130="Neu",$K130="Recherchiert",$K130=""),"Erstkontakt vorbereiten",IF($K130="Kontaktiert",IF($L130="","Datum eintragen",IF(TODAY()&gt;=$O130,"Follow-up 3 fällig",IF(TODAY()&gt;=$N130,"Follow-up 2 fällig",IF(TODAY()&gt;=$M130,"Follow-up 1 fällig","warten")))),IF($K130="Antwort","Antworten",IF($K130="Gespräch","Nachbereiten",IF($K130="Angebot","Angebot nachfassen","")))))))</f>
        <v/>
      </c>
      <c r="Q130" s="17"/>
      <c r="R130" s="13"/>
    </row>
    <row r="131" customFormat="false" ht="15" hidden="false" customHeight="tru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3"/>
      <c r="K131" s="12"/>
      <c r="L131" s="14"/>
      <c r="M131" s="15" t="str">
        <f aca="false">IF($L131="","",$L131+Einstellungen!$B$3)</f>
        <v/>
      </c>
      <c r="N131" s="15" t="str">
        <f aca="false">IF($L131="","",$L131+Einstellungen!$B$4)</f>
        <v/>
      </c>
      <c r="O131" s="15" t="str">
        <f aca="false">IF($L131="","",$L131+Einstellungen!$B$5)</f>
        <v/>
      </c>
      <c r="P131" s="16" t="str">
        <f aca="true">IF($B131="","",IF(OR($K131="Gewonnen",$K131="Verloren",$K131="Kein Interesse"),"abgeschlossen",IF(OR($K131="Neu",$K131="Recherchiert",$K131=""),"Erstkontakt vorbereiten",IF($K131="Kontaktiert",IF($L131="","Datum eintragen",IF(TODAY()&gt;=$O131,"Follow-up 3 fällig",IF(TODAY()&gt;=$N131,"Follow-up 2 fällig",IF(TODAY()&gt;=$M131,"Follow-up 1 fällig","warten")))),IF($K131="Antwort","Antworten",IF($K131="Gespräch","Nachbereiten",IF($K131="Angebot","Angebot nachfassen","")))))))</f>
        <v/>
      </c>
      <c r="Q131" s="17"/>
      <c r="R131" s="13"/>
    </row>
    <row r="132" customFormat="false" ht="15" hidden="false" customHeight="tru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3"/>
      <c r="K132" s="12"/>
      <c r="L132" s="14"/>
      <c r="M132" s="15" t="str">
        <f aca="false">IF($L132="","",$L132+Einstellungen!$B$3)</f>
        <v/>
      </c>
      <c r="N132" s="15" t="str">
        <f aca="false">IF($L132="","",$L132+Einstellungen!$B$4)</f>
        <v/>
      </c>
      <c r="O132" s="15" t="str">
        <f aca="false">IF($L132="","",$L132+Einstellungen!$B$5)</f>
        <v/>
      </c>
      <c r="P132" s="16" t="str">
        <f aca="true">IF($B132="","",IF(OR($K132="Gewonnen",$K132="Verloren",$K132="Kein Interesse"),"abgeschlossen",IF(OR($K132="Neu",$K132="Recherchiert",$K132=""),"Erstkontakt vorbereiten",IF($K132="Kontaktiert",IF($L132="","Datum eintragen",IF(TODAY()&gt;=$O132,"Follow-up 3 fällig",IF(TODAY()&gt;=$N132,"Follow-up 2 fällig",IF(TODAY()&gt;=$M132,"Follow-up 1 fällig","warten")))),IF($K132="Antwort","Antworten",IF($K132="Gespräch","Nachbereiten",IF($K132="Angebot","Angebot nachfassen","")))))))</f>
        <v/>
      </c>
      <c r="Q132" s="17"/>
      <c r="R132" s="13"/>
    </row>
    <row r="133" customFormat="false" ht="15" hidden="false" customHeight="tru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3"/>
      <c r="K133" s="12"/>
      <c r="L133" s="14"/>
      <c r="M133" s="15" t="str">
        <f aca="false">IF($L133="","",$L133+Einstellungen!$B$3)</f>
        <v/>
      </c>
      <c r="N133" s="15" t="str">
        <f aca="false">IF($L133="","",$L133+Einstellungen!$B$4)</f>
        <v/>
      </c>
      <c r="O133" s="15" t="str">
        <f aca="false">IF($L133="","",$L133+Einstellungen!$B$5)</f>
        <v/>
      </c>
      <c r="P133" s="16" t="str">
        <f aca="true">IF($B133="","",IF(OR($K133="Gewonnen",$K133="Verloren",$K133="Kein Interesse"),"abgeschlossen",IF(OR($K133="Neu",$K133="Recherchiert",$K133=""),"Erstkontakt vorbereiten",IF($K133="Kontaktiert",IF($L133="","Datum eintragen",IF(TODAY()&gt;=$O133,"Follow-up 3 fällig",IF(TODAY()&gt;=$N133,"Follow-up 2 fällig",IF(TODAY()&gt;=$M133,"Follow-up 1 fällig","warten")))),IF($K133="Antwort","Antworten",IF($K133="Gespräch","Nachbereiten",IF($K133="Angebot","Angebot nachfassen","")))))))</f>
        <v/>
      </c>
      <c r="Q133" s="17"/>
      <c r="R133" s="13"/>
    </row>
    <row r="134" customFormat="false" ht="15" hidden="false" customHeight="tru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3"/>
      <c r="K134" s="12"/>
      <c r="L134" s="14"/>
      <c r="M134" s="15" t="str">
        <f aca="false">IF($L134="","",$L134+Einstellungen!$B$3)</f>
        <v/>
      </c>
      <c r="N134" s="15" t="str">
        <f aca="false">IF($L134="","",$L134+Einstellungen!$B$4)</f>
        <v/>
      </c>
      <c r="O134" s="15" t="str">
        <f aca="false">IF($L134="","",$L134+Einstellungen!$B$5)</f>
        <v/>
      </c>
      <c r="P134" s="16" t="str">
        <f aca="true">IF($B134="","",IF(OR($K134="Gewonnen",$K134="Verloren",$K134="Kein Interesse"),"abgeschlossen",IF(OR($K134="Neu",$K134="Recherchiert",$K134=""),"Erstkontakt vorbereiten",IF($K134="Kontaktiert",IF($L134="","Datum eintragen",IF(TODAY()&gt;=$O134,"Follow-up 3 fällig",IF(TODAY()&gt;=$N134,"Follow-up 2 fällig",IF(TODAY()&gt;=$M134,"Follow-up 1 fällig","warten")))),IF($K134="Antwort","Antworten",IF($K134="Gespräch","Nachbereiten",IF($K134="Angebot","Angebot nachfassen","")))))))</f>
        <v/>
      </c>
      <c r="Q134" s="17"/>
      <c r="R134" s="13"/>
    </row>
    <row r="135" customFormat="false" ht="15" hidden="false" customHeight="tru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3"/>
      <c r="K135" s="12"/>
      <c r="L135" s="14"/>
      <c r="M135" s="15" t="str">
        <f aca="false">IF($L135="","",$L135+Einstellungen!$B$3)</f>
        <v/>
      </c>
      <c r="N135" s="15" t="str">
        <f aca="false">IF($L135="","",$L135+Einstellungen!$B$4)</f>
        <v/>
      </c>
      <c r="O135" s="15" t="str">
        <f aca="false">IF($L135="","",$L135+Einstellungen!$B$5)</f>
        <v/>
      </c>
      <c r="P135" s="16" t="str">
        <f aca="true">IF($B135="","",IF(OR($K135="Gewonnen",$K135="Verloren",$K135="Kein Interesse"),"abgeschlossen",IF(OR($K135="Neu",$K135="Recherchiert",$K135=""),"Erstkontakt vorbereiten",IF($K135="Kontaktiert",IF($L135="","Datum eintragen",IF(TODAY()&gt;=$O135,"Follow-up 3 fällig",IF(TODAY()&gt;=$N135,"Follow-up 2 fällig",IF(TODAY()&gt;=$M135,"Follow-up 1 fällig","warten")))),IF($K135="Antwort","Antworten",IF($K135="Gespräch","Nachbereiten",IF($K135="Angebot","Angebot nachfassen","")))))))</f>
        <v/>
      </c>
      <c r="Q135" s="17"/>
      <c r="R135" s="13"/>
    </row>
    <row r="136" customFormat="false" ht="15" hidden="false" customHeight="tru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3"/>
      <c r="K136" s="12"/>
      <c r="L136" s="14"/>
      <c r="M136" s="15" t="str">
        <f aca="false">IF($L136="","",$L136+Einstellungen!$B$3)</f>
        <v/>
      </c>
      <c r="N136" s="15" t="str">
        <f aca="false">IF($L136="","",$L136+Einstellungen!$B$4)</f>
        <v/>
      </c>
      <c r="O136" s="15" t="str">
        <f aca="false">IF($L136="","",$L136+Einstellungen!$B$5)</f>
        <v/>
      </c>
      <c r="P136" s="16" t="str">
        <f aca="true">IF($B136="","",IF(OR($K136="Gewonnen",$K136="Verloren",$K136="Kein Interesse"),"abgeschlossen",IF(OR($K136="Neu",$K136="Recherchiert",$K136=""),"Erstkontakt vorbereiten",IF($K136="Kontaktiert",IF($L136="","Datum eintragen",IF(TODAY()&gt;=$O136,"Follow-up 3 fällig",IF(TODAY()&gt;=$N136,"Follow-up 2 fällig",IF(TODAY()&gt;=$M136,"Follow-up 1 fällig","warten")))),IF($K136="Antwort","Antworten",IF($K136="Gespräch","Nachbereiten",IF($K136="Angebot","Angebot nachfassen","")))))))</f>
        <v/>
      </c>
      <c r="Q136" s="17"/>
      <c r="R136" s="13"/>
    </row>
    <row r="137" customFormat="false" ht="15" hidden="false" customHeight="tru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3"/>
      <c r="K137" s="12"/>
      <c r="L137" s="14"/>
      <c r="M137" s="15" t="str">
        <f aca="false">IF($L137="","",$L137+Einstellungen!$B$3)</f>
        <v/>
      </c>
      <c r="N137" s="15" t="str">
        <f aca="false">IF($L137="","",$L137+Einstellungen!$B$4)</f>
        <v/>
      </c>
      <c r="O137" s="15" t="str">
        <f aca="false">IF($L137="","",$L137+Einstellungen!$B$5)</f>
        <v/>
      </c>
      <c r="P137" s="16" t="str">
        <f aca="true">IF($B137="","",IF(OR($K137="Gewonnen",$K137="Verloren",$K137="Kein Interesse"),"abgeschlossen",IF(OR($K137="Neu",$K137="Recherchiert",$K137=""),"Erstkontakt vorbereiten",IF($K137="Kontaktiert",IF($L137="","Datum eintragen",IF(TODAY()&gt;=$O137,"Follow-up 3 fällig",IF(TODAY()&gt;=$N137,"Follow-up 2 fällig",IF(TODAY()&gt;=$M137,"Follow-up 1 fällig","warten")))),IF($K137="Antwort","Antworten",IF($K137="Gespräch","Nachbereiten",IF($K137="Angebot","Angebot nachfassen","")))))))</f>
        <v/>
      </c>
      <c r="Q137" s="17"/>
      <c r="R137" s="13"/>
    </row>
    <row r="138" customFormat="false" ht="15" hidden="false" customHeight="tru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3"/>
      <c r="K138" s="12"/>
      <c r="L138" s="14"/>
      <c r="M138" s="15" t="str">
        <f aca="false">IF($L138="","",$L138+Einstellungen!$B$3)</f>
        <v/>
      </c>
      <c r="N138" s="15" t="str">
        <f aca="false">IF($L138="","",$L138+Einstellungen!$B$4)</f>
        <v/>
      </c>
      <c r="O138" s="15" t="str">
        <f aca="false">IF($L138="","",$L138+Einstellungen!$B$5)</f>
        <v/>
      </c>
      <c r="P138" s="16" t="str">
        <f aca="true">IF($B138="","",IF(OR($K138="Gewonnen",$K138="Verloren",$K138="Kein Interesse"),"abgeschlossen",IF(OR($K138="Neu",$K138="Recherchiert",$K138=""),"Erstkontakt vorbereiten",IF($K138="Kontaktiert",IF($L138="","Datum eintragen",IF(TODAY()&gt;=$O138,"Follow-up 3 fällig",IF(TODAY()&gt;=$N138,"Follow-up 2 fällig",IF(TODAY()&gt;=$M138,"Follow-up 1 fällig","warten")))),IF($K138="Antwort","Antworten",IF($K138="Gespräch","Nachbereiten",IF($K138="Angebot","Angebot nachfassen","")))))))</f>
        <v/>
      </c>
      <c r="Q138" s="17"/>
      <c r="R138" s="13"/>
    </row>
    <row r="139" customFormat="false" ht="15" hidden="false" customHeight="tru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3"/>
      <c r="K139" s="12"/>
      <c r="L139" s="14"/>
      <c r="M139" s="15" t="str">
        <f aca="false">IF($L139="","",$L139+Einstellungen!$B$3)</f>
        <v/>
      </c>
      <c r="N139" s="15" t="str">
        <f aca="false">IF($L139="","",$L139+Einstellungen!$B$4)</f>
        <v/>
      </c>
      <c r="O139" s="15" t="str">
        <f aca="false">IF($L139="","",$L139+Einstellungen!$B$5)</f>
        <v/>
      </c>
      <c r="P139" s="16" t="str">
        <f aca="true">IF($B139="","",IF(OR($K139="Gewonnen",$K139="Verloren",$K139="Kein Interesse"),"abgeschlossen",IF(OR($K139="Neu",$K139="Recherchiert",$K139=""),"Erstkontakt vorbereiten",IF($K139="Kontaktiert",IF($L139="","Datum eintragen",IF(TODAY()&gt;=$O139,"Follow-up 3 fällig",IF(TODAY()&gt;=$N139,"Follow-up 2 fällig",IF(TODAY()&gt;=$M139,"Follow-up 1 fällig","warten")))),IF($K139="Antwort","Antworten",IF($K139="Gespräch","Nachbereiten",IF($K139="Angebot","Angebot nachfassen","")))))))</f>
        <v/>
      </c>
      <c r="Q139" s="17"/>
      <c r="R139" s="13"/>
    </row>
    <row r="140" customFormat="false" ht="15" hidden="false" customHeight="tru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3"/>
      <c r="K140" s="12"/>
      <c r="L140" s="14"/>
      <c r="M140" s="15" t="str">
        <f aca="false">IF($L140="","",$L140+Einstellungen!$B$3)</f>
        <v/>
      </c>
      <c r="N140" s="15" t="str">
        <f aca="false">IF($L140="","",$L140+Einstellungen!$B$4)</f>
        <v/>
      </c>
      <c r="O140" s="15" t="str">
        <f aca="false">IF($L140="","",$L140+Einstellungen!$B$5)</f>
        <v/>
      </c>
      <c r="P140" s="16" t="str">
        <f aca="true">IF($B140="","",IF(OR($K140="Gewonnen",$K140="Verloren",$K140="Kein Interesse"),"abgeschlossen",IF(OR($K140="Neu",$K140="Recherchiert",$K140=""),"Erstkontakt vorbereiten",IF($K140="Kontaktiert",IF($L140="","Datum eintragen",IF(TODAY()&gt;=$O140,"Follow-up 3 fällig",IF(TODAY()&gt;=$N140,"Follow-up 2 fällig",IF(TODAY()&gt;=$M140,"Follow-up 1 fällig","warten")))),IF($K140="Antwort","Antworten",IF($K140="Gespräch","Nachbereiten",IF($K140="Angebot","Angebot nachfassen","")))))))</f>
        <v/>
      </c>
      <c r="Q140" s="17"/>
      <c r="R140" s="13"/>
    </row>
    <row r="141" customFormat="false" ht="15" hidden="false" customHeight="tru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3"/>
      <c r="K141" s="12"/>
      <c r="L141" s="14"/>
      <c r="M141" s="15" t="str">
        <f aca="false">IF($L141="","",$L141+Einstellungen!$B$3)</f>
        <v/>
      </c>
      <c r="N141" s="15" t="str">
        <f aca="false">IF($L141="","",$L141+Einstellungen!$B$4)</f>
        <v/>
      </c>
      <c r="O141" s="15" t="str">
        <f aca="false">IF($L141="","",$L141+Einstellungen!$B$5)</f>
        <v/>
      </c>
      <c r="P141" s="16" t="str">
        <f aca="true">IF($B141="","",IF(OR($K141="Gewonnen",$K141="Verloren",$K141="Kein Interesse"),"abgeschlossen",IF(OR($K141="Neu",$K141="Recherchiert",$K141=""),"Erstkontakt vorbereiten",IF($K141="Kontaktiert",IF($L141="","Datum eintragen",IF(TODAY()&gt;=$O141,"Follow-up 3 fällig",IF(TODAY()&gt;=$N141,"Follow-up 2 fällig",IF(TODAY()&gt;=$M141,"Follow-up 1 fällig","warten")))),IF($K141="Antwort","Antworten",IF($K141="Gespräch","Nachbereiten",IF($K141="Angebot","Angebot nachfassen","")))))))</f>
        <v/>
      </c>
      <c r="Q141" s="17"/>
      <c r="R141" s="13"/>
    </row>
    <row r="142" customFormat="false" ht="15" hidden="false" customHeight="tru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3"/>
      <c r="K142" s="12"/>
      <c r="L142" s="14"/>
      <c r="M142" s="15" t="str">
        <f aca="false">IF($L142="","",$L142+Einstellungen!$B$3)</f>
        <v/>
      </c>
      <c r="N142" s="15" t="str">
        <f aca="false">IF($L142="","",$L142+Einstellungen!$B$4)</f>
        <v/>
      </c>
      <c r="O142" s="15" t="str">
        <f aca="false">IF($L142="","",$L142+Einstellungen!$B$5)</f>
        <v/>
      </c>
      <c r="P142" s="16" t="str">
        <f aca="true">IF($B142="","",IF(OR($K142="Gewonnen",$K142="Verloren",$K142="Kein Interesse"),"abgeschlossen",IF(OR($K142="Neu",$K142="Recherchiert",$K142=""),"Erstkontakt vorbereiten",IF($K142="Kontaktiert",IF($L142="","Datum eintragen",IF(TODAY()&gt;=$O142,"Follow-up 3 fällig",IF(TODAY()&gt;=$N142,"Follow-up 2 fällig",IF(TODAY()&gt;=$M142,"Follow-up 1 fällig","warten")))),IF($K142="Antwort","Antworten",IF($K142="Gespräch","Nachbereiten",IF($K142="Angebot","Angebot nachfassen","")))))))</f>
        <v/>
      </c>
      <c r="Q142" s="17"/>
      <c r="R142" s="13"/>
    </row>
    <row r="143" customFormat="false" ht="15" hidden="false" customHeight="tru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3"/>
      <c r="K143" s="12"/>
      <c r="L143" s="14"/>
      <c r="M143" s="15" t="str">
        <f aca="false">IF($L143="","",$L143+Einstellungen!$B$3)</f>
        <v/>
      </c>
      <c r="N143" s="15" t="str">
        <f aca="false">IF($L143="","",$L143+Einstellungen!$B$4)</f>
        <v/>
      </c>
      <c r="O143" s="15" t="str">
        <f aca="false">IF($L143="","",$L143+Einstellungen!$B$5)</f>
        <v/>
      </c>
      <c r="P143" s="16" t="str">
        <f aca="true">IF($B143="","",IF(OR($K143="Gewonnen",$K143="Verloren",$K143="Kein Interesse"),"abgeschlossen",IF(OR($K143="Neu",$K143="Recherchiert",$K143=""),"Erstkontakt vorbereiten",IF($K143="Kontaktiert",IF($L143="","Datum eintragen",IF(TODAY()&gt;=$O143,"Follow-up 3 fällig",IF(TODAY()&gt;=$N143,"Follow-up 2 fällig",IF(TODAY()&gt;=$M143,"Follow-up 1 fällig","warten")))),IF($K143="Antwort","Antworten",IF($K143="Gespräch","Nachbereiten",IF($K143="Angebot","Angebot nachfassen","")))))))</f>
        <v/>
      </c>
      <c r="Q143" s="17"/>
      <c r="R143" s="13"/>
    </row>
    <row r="144" customFormat="false" ht="15" hidden="false" customHeight="tru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3"/>
      <c r="K144" s="12"/>
      <c r="L144" s="14"/>
      <c r="M144" s="15" t="str">
        <f aca="false">IF($L144="","",$L144+Einstellungen!$B$3)</f>
        <v/>
      </c>
      <c r="N144" s="15" t="str">
        <f aca="false">IF($L144="","",$L144+Einstellungen!$B$4)</f>
        <v/>
      </c>
      <c r="O144" s="15" t="str">
        <f aca="false">IF($L144="","",$L144+Einstellungen!$B$5)</f>
        <v/>
      </c>
      <c r="P144" s="16" t="str">
        <f aca="true">IF($B144="","",IF(OR($K144="Gewonnen",$K144="Verloren",$K144="Kein Interesse"),"abgeschlossen",IF(OR($K144="Neu",$K144="Recherchiert",$K144=""),"Erstkontakt vorbereiten",IF($K144="Kontaktiert",IF($L144="","Datum eintragen",IF(TODAY()&gt;=$O144,"Follow-up 3 fällig",IF(TODAY()&gt;=$N144,"Follow-up 2 fällig",IF(TODAY()&gt;=$M144,"Follow-up 1 fällig","warten")))),IF($K144="Antwort","Antworten",IF($K144="Gespräch","Nachbereiten",IF($K144="Angebot","Angebot nachfassen","")))))))</f>
        <v/>
      </c>
      <c r="Q144" s="17"/>
      <c r="R144" s="13"/>
    </row>
    <row r="145" customFormat="false" ht="15" hidden="false" customHeight="tru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3"/>
      <c r="K145" s="12"/>
      <c r="L145" s="14"/>
      <c r="M145" s="15" t="str">
        <f aca="false">IF($L145="","",$L145+Einstellungen!$B$3)</f>
        <v/>
      </c>
      <c r="N145" s="15" t="str">
        <f aca="false">IF($L145="","",$L145+Einstellungen!$B$4)</f>
        <v/>
      </c>
      <c r="O145" s="15" t="str">
        <f aca="false">IF($L145="","",$L145+Einstellungen!$B$5)</f>
        <v/>
      </c>
      <c r="P145" s="16" t="str">
        <f aca="true">IF($B145="","",IF(OR($K145="Gewonnen",$K145="Verloren",$K145="Kein Interesse"),"abgeschlossen",IF(OR($K145="Neu",$K145="Recherchiert",$K145=""),"Erstkontakt vorbereiten",IF($K145="Kontaktiert",IF($L145="","Datum eintragen",IF(TODAY()&gt;=$O145,"Follow-up 3 fällig",IF(TODAY()&gt;=$N145,"Follow-up 2 fällig",IF(TODAY()&gt;=$M145,"Follow-up 1 fällig","warten")))),IF($K145="Antwort","Antworten",IF($K145="Gespräch","Nachbereiten",IF($K145="Angebot","Angebot nachfassen","")))))))</f>
        <v/>
      </c>
      <c r="Q145" s="17"/>
      <c r="R145" s="13"/>
    </row>
    <row r="146" customFormat="false" ht="15" hidden="false" customHeight="tru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3"/>
      <c r="K146" s="12"/>
      <c r="L146" s="14"/>
      <c r="M146" s="15" t="str">
        <f aca="false">IF($L146="","",$L146+Einstellungen!$B$3)</f>
        <v/>
      </c>
      <c r="N146" s="15" t="str">
        <f aca="false">IF($L146="","",$L146+Einstellungen!$B$4)</f>
        <v/>
      </c>
      <c r="O146" s="15" t="str">
        <f aca="false">IF($L146="","",$L146+Einstellungen!$B$5)</f>
        <v/>
      </c>
      <c r="P146" s="16" t="str">
        <f aca="true">IF($B146="","",IF(OR($K146="Gewonnen",$K146="Verloren",$K146="Kein Interesse"),"abgeschlossen",IF(OR($K146="Neu",$K146="Recherchiert",$K146=""),"Erstkontakt vorbereiten",IF($K146="Kontaktiert",IF($L146="","Datum eintragen",IF(TODAY()&gt;=$O146,"Follow-up 3 fällig",IF(TODAY()&gt;=$N146,"Follow-up 2 fällig",IF(TODAY()&gt;=$M146,"Follow-up 1 fällig","warten")))),IF($K146="Antwort","Antworten",IF($K146="Gespräch","Nachbereiten",IF($K146="Angebot","Angebot nachfassen","")))))))</f>
        <v/>
      </c>
      <c r="Q146" s="17"/>
      <c r="R146" s="13"/>
    </row>
    <row r="147" customFormat="false" ht="15" hidden="false" customHeight="tru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3"/>
      <c r="K147" s="12"/>
      <c r="L147" s="14"/>
      <c r="M147" s="15" t="str">
        <f aca="false">IF($L147="","",$L147+Einstellungen!$B$3)</f>
        <v/>
      </c>
      <c r="N147" s="15" t="str">
        <f aca="false">IF($L147="","",$L147+Einstellungen!$B$4)</f>
        <v/>
      </c>
      <c r="O147" s="15" t="str">
        <f aca="false">IF($L147="","",$L147+Einstellungen!$B$5)</f>
        <v/>
      </c>
      <c r="P147" s="16" t="str">
        <f aca="true">IF($B147="","",IF(OR($K147="Gewonnen",$K147="Verloren",$K147="Kein Interesse"),"abgeschlossen",IF(OR($K147="Neu",$K147="Recherchiert",$K147=""),"Erstkontakt vorbereiten",IF($K147="Kontaktiert",IF($L147="","Datum eintragen",IF(TODAY()&gt;=$O147,"Follow-up 3 fällig",IF(TODAY()&gt;=$N147,"Follow-up 2 fällig",IF(TODAY()&gt;=$M147,"Follow-up 1 fällig","warten")))),IF($K147="Antwort","Antworten",IF($K147="Gespräch","Nachbereiten",IF($K147="Angebot","Angebot nachfassen","")))))))</f>
        <v/>
      </c>
      <c r="Q147" s="17"/>
      <c r="R147" s="13"/>
    </row>
    <row r="148" customFormat="false" ht="15" hidden="false" customHeight="tru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3"/>
      <c r="K148" s="12"/>
      <c r="L148" s="14"/>
      <c r="M148" s="15" t="str">
        <f aca="false">IF($L148="","",$L148+Einstellungen!$B$3)</f>
        <v/>
      </c>
      <c r="N148" s="15" t="str">
        <f aca="false">IF($L148="","",$L148+Einstellungen!$B$4)</f>
        <v/>
      </c>
      <c r="O148" s="15" t="str">
        <f aca="false">IF($L148="","",$L148+Einstellungen!$B$5)</f>
        <v/>
      </c>
      <c r="P148" s="16" t="str">
        <f aca="true">IF($B148="","",IF(OR($K148="Gewonnen",$K148="Verloren",$K148="Kein Interesse"),"abgeschlossen",IF(OR($K148="Neu",$K148="Recherchiert",$K148=""),"Erstkontakt vorbereiten",IF($K148="Kontaktiert",IF($L148="","Datum eintragen",IF(TODAY()&gt;=$O148,"Follow-up 3 fällig",IF(TODAY()&gt;=$N148,"Follow-up 2 fällig",IF(TODAY()&gt;=$M148,"Follow-up 1 fällig","warten")))),IF($K148="Antwort","Antworten",IF($K148="Gespräch","Nachbereiten",IF($K148="Angebot","Angebot nachfassen","")))))))</f>
        <v/>
      </c>
      <c r="Q148" s="17"/>
      <c r="R148" s="13"/>
    </row>
    <row r="149" customFormat="false" ht="15" hidden="false" customHeight="tru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3"/>
      <c r="K149" s="12"/>
      <c r="L149" s="14"/>
      <c r="M149" s="15" t="str">
        <f aca="false">IF($L149="","",$L149+Einstellungen!$B$3)</f>
        <v/>
      </c>
      <c r="N149" s="15" t="str">
        <f aca="false">IF($L149="","",$L149+Einstellungen!$B$4)</f>
        <v/>
      </c>
      <c r="O149" s="15" t="str">
        <f aca="false">IF($L149="","",$L149+Einstellungen!$B$5)</f>
        <v/>
      </c>
      <c r="P149" s="16" t="str">
        <f aca="true">IF($B149="","",IF(OR($K149="Gewonnen",$K149="Verloren",$K149="Kein Interesse"),"abgeschlossen",IF(OR($K149="Neu",$K149="Recherchiert",$K149=""),"Erstkontakt vorbereiten",IF($K149="Kontaktiert",IF($L149="","Datum eintragen",IF(TODAY()&gt;=$O149,"Follow-up 3 fällig",IF(TODAY()&gt;=$N149,"Follow-up 2 fällig",IF(TODAY()&gt;=$M149,"Follow-up 1 fällig","warten")))),IF($K149="Antwort","Antworten",IF($K149="Gespräch","Nachbereiten",IF($K149="Angebot","Angebot nachfassen","")))))))</f>
        <v/>
      </c>
      <c r="Q149" s="17"/>
      <c r="R149" s="13"/>
    </row>
    <row r="150" customFormat="false" ht="15" hidden="false" customHeight="tru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3"/>
      <c r="K150" s="12"/>
      <c r="L150" s="14"/>
      <c r="M150" s="15" t="str">
        <f aca="false">IF($L150="","",$L150+Einstellungen!$B$3)</f>
        <v/>
      </c>
      <c r="N150" s="15" t="str">
        <f aca="false">IF($L150="","",$L150+Einstellungen!$B$4)</f>
        <v/>
      </c>
      <c r="O150" s="15" t="str">
        <f aca="false">IF($L150="","",$L150+Einstellungen!$B$5)</f>
        <v/>
      </c>
      <c r="P150" s="16" t="str">
        <f aca="true">IF($B150="","",IF(OR($K150="Gewonnen",$K150="Verloren",$K150="Kein Interesse"),"abgeschlossen",IF(OR($K150="Neu",$K150="Recherchiert",$K150=""),"Erstkontakt vorbereiten",IF($K150="Kontaktiert",IF($L150="","Datum eintragen",IF(TODAY()&gt;=$O150,"Follow-up 3 fällig",IF(TODAY()&gt;=$N150,"Follow-up 2 fällig",IF(TODAY()&gt;=$M150,"Follow-up 1 fällig","warten")))),IF($K150="Antwort","Antworten",IF($K150="Gespräch","Nachbereiten",IF($K150="Angebot","Angebot nachfassen","")))))))</f>
        <v/>
      </c>
      <c r="Q150" s="17"/>
      <c r="R150" s="13"/>
    </row>
    <row r="151" customFormat="false" ht="15" hidden="false" customHeight="tru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3"/>
      <c r="K151" s="12"/>
      <c r="L151" s="14"/>
      <c r="M151" s="15" t="str">
        <f aca="false">IF($L151="","",$L151+Einstellungen!$B$3)</f>
        <v/>
      </c>
      <c r="N151" s="15" t="str">
        <f aca="false">IF($L151="","",$L151+Einstellungen!$B$4)</f>
        <v/>
      </c>
      <c r="O151" s="15" t="str">
        <f aca="false">IF($L151="","",$L151+Einstellungen!$B$5)</f>
        <v/>
      </c>
      <c r="P151" s="16" t="str">
        <f aca="true">IF($B151="","",IF(OR($K151="Gewonnen",$K151="Verloren",$K151="Kein Interesse"),"abgeschlossen",IF(OR($K151="Neu",$K151="Recherchiert",$K151=""),"Erstkontakt vorbereiten",IF($K151="Kontaktiert",IF($L151="","Datum eintragen",IF(TODAY()&gt;=$O151,"Follow-up 3 fällig",IF(TODAY()&gt;=$N151,"Follow-up 2 fällig",IF(TODAY()&gt;=$M151,"Follow-up 1 fällig","warten")))),IF($K151="Antwort","Antworten",IF($K151="Gespräch","Nachbereiten",IF($K151="Angebot","Angebot nachfassen","")))))))</f>
        <v/>
      </c>
      <c r="Q151" s="17"/>
      <c r="R151" s="13"/>
    </row>
    <row r="152" customFormat="false" ht="15" hidden="false" customHeight="tru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3"/>
      <c r="K152" s="12"/>
      <c r="L152" s="14"/>
      <c r="M152" s="15" t="str">
        <f aca="false">IF($L152="","",$L152+Einstellungen!$B$3)</f>
        <v/>
      </c>
      <c r="N152" s="15" t="str">
        <f aca="false">IF($L152="","",$L152+Einstellungen!$B$4)</f>
        <v/>
      </c>
      <c r="O152" s="15" t="str">
        <f aca="false">IF($L152="","",$L152+Einstellungen!$B$5)</f>
        <v/>
      </c>
      <c r="P152" s="16" t="str">
        <f aca="true">IF($B152="","",IF(OR($K152="Gewonnen",$K152="Verloren",$K152="Kein Interesse"),"abgeschlossen",IF(OR($K152="Neu",$K152="Recherchiert",$K152=""),"Erstkontakt vorbereiten",IF($K152="Kontaktiert",IF($L152="","Datum eintragen",IF(TODAY()&gt;=$O152,"Follow-up 3 fällig",IF(TODAY()&gt;=$N152,"Follow-up 2 fällig",IF(TODAY()&gt;=$M152,"Follow-up 1 fällig","warten")))),IF($K152="Antwort","Antworten",IF($K152="Gespräch","Nachbereiten",IF($K152="Angebot","Angebot nachfassen","")))))))</f>
        <v/>
      </c>
      <c r="Q152" s="17"/>
      <c r="R152" s="13"/>
    </row>
    <row r="153" customFormat="false" ht="15" hidden="false" customHeight="tru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3"/>
      <c r="K153" s="12"/>
      <c r="L153" s="14"/>
      <c r="M153" s="15" t="str">
        <f aca="false">IF($L153="","",$L153+Einstellungen!$B$3)</f>
        <v/>
      </c>
      <c r="N153" s="15" t="str">
        <f aca="false">IF($L153="","",$L153+Einstellungen!$B$4)</f>
        <v/>
      </c>
      <c r="O153" s="15" t="str">
        <f aca="false">IF($L153="","",$L153+Einstellungen!$B$5)</f>
        <v/>
      </c>
      <c r="P153" s="16" t="str">
        <f aca="true">IF($B153="","",IF(OR($K153="Gewonnen",$K153="Verloren",$K153="Kein Interesse"),"abgeschlossen",IF(OR($K153="Neu",$K153="Recherchiert",$K153=""),"Erstkontakt vorbereiten",IF($K153="Kontaktiert",IF($L153="","Datum eintragen",IF(TODAY()&gt;=$O153,"Follow-up 3 fällig",IF(TODAY()&gt;=$N153,"Follow-up 2 fällig",IF(TODAY()&gt;=$M153,"Follow-up 1 fällig","warten")))),IF($K153="Antwort","Antworten",IF($K153="Gespräch","Nachbereiten",IF($K153="Angebot","Angebot nachfassen","")))))))</f>
        <v/>
      </c>
      <c r="Q153" s="17"/>
      <c r="R153" s="13"/>
    </row>
    <row r="154" customFormat="false" ht="15" hidden="false" customHeight="tru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3"/>
      <c r="K154" s="12"/>
      <c r="L154" s="14"/>
      <c r="M154" s="15" t="str">
        <f aca="false">IF($L154="","",$L154+Einstellungen!$B$3)</f>
        <v/>
      </c>
      <c r="N154" s="15" t="str">
        <f aca="false">IF($L154="","",$L154+Einstellungen!$B$4)</f>
        <v/>
      </c>
      <c r="O154" s="15" t="str">
        <f aca="false">IF($L154="","",$L154+Einstellungen!$B$5)</f>
        <v/>
      </c>
      <c r="P154" s="16" t="str">
        <f aca="true">IF($B154="","",IF(OR($K154="Gewonnen",$K154="Verloren",$K154="Kein Interesse"),"abgeschlossen",IF(OR($K154="Neu",$K154="Recherchiert",$K154=""),"Erstkontakt vorbereiten",IF($K154="Kontaktiert",IF($L154="","Datum eintragen",IF(TODAY()&gt;=$O154,"Follow-up 3 fällig",IF(TODAY()&gt;=$N154,"Follow-up 2 fällig",IF(TODAY()&gt;=$M154,"Follow-up 1 fällig","warten")))),IF($K154="Antwort","Antworten",IF($K154="Gespräch","Nachbereiten",IF($K154="Angebot","Angebot nachfassen","")))))))</f>
        <v/>
      </c>
      <c r="Q154" s="17"/>
      <c r="R154" s="13"/>
    </row>
    <row r="155" customFormat="false" ht="15" hidden="false" customHeight="tru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3"/>
      <c r="K155" s="12"/>
      <c r="L155" s="14"/>
      <c r="M155" s="15" t="str">
        <f aca="false">IF($L155="","",$L155+Einstellungen!$B$3)</f>
        <v/>
      </c>
      <c r="N155" s="15" t="str">
        <f aca="false">IF($L155="","",$L155+Einstellungen!$B$4)</f>
        <v/>
      </c>
      <c r="O155" s="15" t="str">
        <f aca="false">IF($L155="","",$L155+Einstellungen!$B$5)</f>
        <v/>
      </c>
      <c r="P155" s="16" t="str">
        <f aca="true">IF($B155="","",IF(OR($K155="Gewonnen",$K155="Verloren",$K155="Kein Interesse"),"abgeschlossen",IF(OR($K155="Neu",$K155="Recherchiert",$K155=""),"Erstkontakt vorbereiten",IF($K155="Kontaktiert",IF($L155="","Datum eintragen",IF(TODAY()&gt;=$O155,"Follow-up 3 fällig",IF(TODAY()&gt;=$N155,"Follow-up 2 fällig",IF(TODAY()&gt;=$M155,"Follow-up 1 fällig","warten")))),IF($K155="Antwort","Antworten",IF($K155="Gespräch","Nachbereiten",IF($K155="Angebot","Angebot nachfassen","")))))))</f>
        <v/>
      </c>
      <c r="Q155" s="17"/>
      <c r="R155" s="13"/>
    </row>
    <row r="156" customFormat="false" ht="15" hidden="false" customHeight="tru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3"/>
      <c r="K156" s="12"/>
      <c r="L156" s="14"/>
      <c r="M156" s="15" t="str">
        <f aca="false">IF($L156="","",$L156+Einstellungen!$B$3)</f>
        <v/>
      </c>
      <c r="N156" s="15" t="str">
        <f aca="false">IF($L156="","",$L156+Einstellungen!$B$4)</f>
        <v/>
      </c>
      <c r="O156" s="15" t="str">
        <f aca="false">IF($L156="","",$L156+Einstellungen!$B$5)</f>
        <v/>
      </c>
      <c r="P156" s="16" t="str">
        <f aca="true">IF($B156="","",IF(OR($K156="Gewonnen",$K156="Verloren",$K156="Kein Interesse"),"abgeschlossen",IF(OR($K156="Neu",$K156="Recherchiert",$K156=""),"Erstkontakt vorbereiten",IF($K156="Kontaktiert",IF($L156="","Datum eintragen",IF(TODAY()&gt;=$O156,"Follow-up 3 fällig",IF(TODAY()&gt;=$N156,"Follow-up 2 fällig",IF(TODAY()&gt;=$M156,"Follow-up 1 fällig","warten")))),IF($K156="Antwort","Antworten",IF($K156="Gespräch","Nachbereiten",IF($K156="Angebot","Angebot nachfassen","")))))))</f>
        <v/>
      </c>
      <c r="Q156" s="17"/>
      <c r="R156" s="13"/>
    </row>
    <row r="157" customFormat="false" ht="15" hidden="false" customHeight="tru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3"/>
      <c r="K157" s="12"/>
      <c r="L157" s="14"/>
      <c r="M157" s="15" t="str">
        <f aca="false">IF($L157="","",$L157+Einstellungen!$B$3)</f>
        <v/>
      </c>
      <c r="N157" s="15" t="str">
        <f aca="false">IF($L157="","",$L157+Einstellungen!$B$4)</f>
        <v/>
      </c>
      <c r="O157" s="15" t="str">
        <f aca="false">IF($L157="","",$L157+Einstellungen!$B$5)</f>
        <v/>
      </c>
      <c r="P157" s="16" t="str">
        <f aca="true">IF($B157="","",IF(OR($K157="Gewonnen",$K157="Verloren",$K157="Kein Interesse"),"abgeschlossen",IF(OR($K157="Neu",$K157="Recherchiert",$K157=""),"Erstkontakt vorbereiten",IF($K157="Kontaktiert",IF($L157="","Datum eintragen",IF(TODAY()&gt;=$O157,"Follow-up 3 fällig",IF(TODAY()&gt;=$N157,"Follow-up 2 fällig",IF(TODAY()&gt;=$M157,"Follow-up 1 fällig","warten")))),IF($K157="Antwort","Antworten",IF($K157="Gespräch","Nachbereiten",IF($K157="Angebot","Angebot nachfassen","")))))))</f>
        <v/>
      </c>
      <c r="Q157" s="17"/>
      <c r="R157" s="13"/>
    </row>
    <row r="158" customFormat="false" ht="15" hidden="false" customHeight="tru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3"/>
      <c r="K158" s="12"/>
      <c r="L158" s="14"/>
      <c r="M158" s="15" t="str">
        <f aca="false">IF($L158="","",$L158+Einstellungen!$B$3)</f>
        <v/>
      </c>
      <c r="N158" s="15" t="str">
        <f aca="false">IF($L158="","",$L158+Einstellungen!$B$4)</f>
        <v/>
      </c>
      <c r="O158" s="15" t="str">
        <f aca="false">IF($L158="","",$L158+Einstellungen!$B$5)</f>
        <v/>
      </c>
      <c r="P158" s="16" t="str">
        <f aca="true">IF($B158="","",IF(OR($K158="Gewonnen",$K158="Verloren",$K158="Kein Interesse"),"abgeschlossen",IF(OR($K158="Neu",$K158="Recherchiert",$K158=""),"Erstkontakt vorbereiten",IF($K158="Kontaktiert",IF($L158="","Datum eintragen",IF(TODAY()&gt;=$O158,"Follow-up 3 fällig",IF(TODAY()&gt;=$N158,"Follow-up 2 fällig",IF(TODAY()&gt;=$M158,"Follow-up 1 fällig","warten")))),IF($K158="Antwort","Antworten",IF($K158="Gespräch","Nachbereiten",IF($K158="Angebot","Angebot nachfassen","")))))))</f>
        <v/>
      </c>
      <c r="Q158" s="17"/>
      <c r="R158" s="13"/>
    </row>
    <row r="159" customFormat="false" ht="15" hidden="false" customHeight="tru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3"/>
      <c r="K159" s="12"/>
      <c r="L159" s="14"/>
      <c r="M159" s="15" t="str">
        <f aca="false">IF($L159="","",$L159+Einstellungen!$B$3)</f>
        <v/>
      </c>
      <c r="N159" s="15" t="str">
        <f aca="false">IF($L159="","",$L159+Einstellungen!$B$4)</f>
        <v/>
      </c>
      <c r="O159" s="15" t="str">
        <f aca="false">IF($L159="","",$L159+Einstellungen!$B$5)</f>
        <v/>
      </c>
      <c r="P159" s="16" t="str">
        <f aca="true">IF($B159="","",IF(OR($K159="Gewonnen",$K159="Verloren",$K159="Kein Interesse"),"abgeschlossen",IF(OR($K159="Neu",$K159="Recherchiert",$K159=""),"Erstkontakt vorbereiten",IF($K159="Kontaktiert",IF($L159="","Datum eintragen",IF(TODAY()&gt;=$O159,"Follow-up 3 fällig",IF(TODAY()&gt;=$N159,"Follow-up 2 fällig",IF(TODAY()&gt;=$M159,"Follow-up 1 fällig","warten")))),IF($K159="Antwort","Antworten",IF($K159="Gespräch","Nachbereiten",IF($K159="Angebot","Angebot nachfassen","")))))))</f>
        <v/>
      </c>
      <c r="Q159" s="17"/>
      <c r="R159" s="13"/>
    </row>
    <row r="160" customFormat="false" ht="15" hidden="false" customHeight="tru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3"/>
      <c r="K160" s="12"/>
      <c r="L160" s="14"/>
      <c r="M160" s="15" t="str">
        <f aca="false">IF($L160="","",$L160+Einstellungen!$B$3)</f>
        <v/>
      </c>
      <c r="N160" s="15" t="str">
        <f aca="false">IF($L160="","",$L160+Einstellungen!$B$4)</f>
        <v/>
      </c>
      <c r="O160" s="15" t="str">
        <f aca="false">IF($L160="","",$L160+Einstellungen!$B$5)</f>
        <v/>
      </c>
      <c r="P160" s="16" t="str">
        <f aca="true">IF($B160="","",IF(OR($K160="Gewonnen",$K160="Verloren",$K160="Kein Interesse"),"abgeschlossen",IF(OR($K160="Neu",$K160="Recherchiert",$K160=""),"Erstkontakt vorbereiten",IF($K160="Kontaktiert",IF($L160="","Datum eintragen",IF(TODAY()&gt;=$O160,"Follow-up 3 fällig",IF(TODAY()&gt;=$N160,"Follow-up 2 fällig",IF(TODAY()&gt;=$M160,"Follow-up 1 fällig","warten")))),IF($K160="Antwort","Antworten",IF($K160="Gespräch","Nachbereiten",IF($K160="Angebot","Angebot nachfassen","")))))))</f>
        <v/>
      </c>
      <c r="Q160" s="17"/>
      <c r="R160" s="13"/>
    </row>
    <row r="161" customFormat="false" ht="15" hidden="false" customHeight="tru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3"/>
      <c r="K161" s="12"/>
      <c r="L161" s="14"/>
      <c r="M161" s="15" t="str">
        <f aca="false">IF($L161="","",$L161+Einstellungen!$B$3)</f>
        <v/>
      </c>
      <c r="N161" s="15" t="str">
        <f aca="false">IF($L161="","",$L161+Einstellungen!$B$4)</f>
        <v/>
      </c>
      <c r="O161" s="15" t="str">
        <f aca="false">IF($L161="","",$L161+Einstellungen!$B$5)</f>
        <v/>
      </c>
      <c r="P161" s="16" t="str">
        <f aca="true">IF($B161="","",IF(OR($K161="Gewonnen",$K161="Verloren",$K161="Kein Interesse"),"abgeschlossen",IF(OR($K161="Neu",$K161="Recherchiert",$K161=""),"Erstkontakt vorbereiten",IF($K161="Kontaktiert",IF($L161="","Datum eintragen",IF(TODAY()&gt;=$O161,"Follow-up 3 fällig",IF(TODAY()&gt;=$N161,"Follow-up 2 fällig",IF(TODAY()&gt;=$M161,"Follow-up 1 fällig","warten")))),IF($K161="Antwort","Antworten",IF($K161="Gespräch","Nachbereiten",IF($K161="Angebot","Angebot nachfassen","")))))))</f>
        <v/>
      </c>
      <c r="Q161" s="17"/>
      <c r="R161" s="13"/>
    </row>
    <row r="162" customFormat="false" ht="15" hidden="false" customHeight="tru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3"/>
      <c r="K162" s="12"/>
      <c r="L162" s="14"/>
      <c r="M162" s="15" t="str">
        <f aca="false">IF($L162="","",$L162+Einstellungen!$B$3)</f>
        <v/>
      </c>
      <c r="N162" s="15" t="str">
        <f aca="false">IF($L162="","",$L162+Einstellungen!$B$4)</f>
        <v/>
      </c>
      <c r="O162" s="15" t="str">
        <f aca="false">IF($L162="","",$L162+Einstellungen!$B$5)</f>
        <v/>
      </c>
      <c r="P162" s="16" t="str">
        <f aca="true">IF($B162="","",IF(OR($K162="Gewonnen",$K162="Verloren",$K162="Kein Interesse"),"abgeschlossen",IF(OR($K162="Neu",$K162="Recherchiert",$K162=""),"Erstkontakt vorbereiten",IF($K162="Kontaktiert",IF($L162="","Datum eintragen",IF(TODAY()&gt;=$O162,"Follow-up 3 fällig",IF(TODAY()&gt;=$N162,"Follow-up 2 fällig",IF(TODAY()&gt;=$M162,"Follow-up 1 fällig","warten")))),IF($K162="Antwort","Antworten",IF($K162="Gespräch","Nachbereiten",IF($K162="Angebot","Angebot nachfassen","")))))))</f>
        <v/>
      </c>
      <c r="Q162" s="17"/>
      <c r="R162" s="13"/>
    </row>
    <row r="163" customFormat="false" ht="15" hidden="false" customHeight="tru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3"/>
      <c r="K163" s="12"/>
      <c r="L163" s="14"/>
      <c r="M163" s="15" t="str">
        <f aca="false">IF($L163="","",$L163+Einstellungen!$B$3)</f>
        <v/>
      </c>
      <c r="N163" s="15" t="str">
        <f aca="false">IF($L163="","",$L163+Einstellungen!$B$4)</f>
        <v/>
      </c>
      <c r="O163" s="15" t="str">
        <f aca="false">IF($L163="","",$L163+Einstellungen!$B$5)</f>
        <v/>
      </c>
      <c r="P163" s="16" t="str">
        <f aca="true">IF($B163="","",IF(OR($K163="Gewonnen",$K163="Verloren",$K163="Kein Interesse"),"abgeschlossen",IF(OR($K163="Neu",$K163="Recherchiert",$K163=""),"Erstkontakt vorbereiten",IF($K163="Kontaktiert",IF($L163="","Datum eintragen",IF(TODAY()&gt;=$O163,"Follow-up 3 fällig",IF(TODAY()&gt;=$N163,"Follow-up 2 fällig",IF(TODAY()&gt;=$M163,"Follow-up 1 fällig","warten")))),IF($K163="Antwort","Antworten",IF($K163="Gespräch","Nachbereiten",IF($K163="Angebot","Angebot nachfassen","")))))))</f>
        <v/>
      </c>
      <c r="Q163" s="17"/>
      <c r="R163" s="13"/>
    </row>
    <row r="164" customFormat="false" ht="15" hidden="false" customHeight="tru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3"/>
      <c r="K164" s="12"/>
      <c r="L164" s="14"/>
      <c r="M164" s="15" t="str">
        <f aca="false">IF($L164="","",$L164+Einstellungen!$B$3)</f>
        <v/>
      </c>
      <c r="N164" s="15" t="str">
        <f aca="false">IF($L164="","",$L164+Einstellungen!$B$4)</f>
        <v/>
      </c>
      <c r="O164" s="15" t="str">
        <f aca="false">IF($L164="","",$L164+Einstellungen!$B$5)</f>
        <v/>
      </c>
      <c r="P164" s="16" t="str">
        <f aca="true">IF($B164="","",IF(OR($K164="Gewonnen",$K164="Verloren",$K164="Kein Interesse"),"abgeschlossen",IF(OR($K164="Neu",$K164="Recherchiert",$K164=""),"Erstkontakt vorbereiten",IF($K164="Kontaktiert",IF($L164="","Datum eintragen",IF(TODAY()&gt;=$O164,"Follow-up 3 fällig",IF(TODAY()&gt;=$N164,"Follow-up 2 fällig",IF(TODAY()&gt;=$M164,"Follow-up 1 fällig","warten")))),IF($K164="Antwort","Antworten",IF($K164="Gespräch","Nachbereiten",IF($K164="Angebot","Angebot nachfassen","")))))))</f>
        <v/>
      </c>
      <c r="Q164" s="17"/>
      <c r="R164" s="13"/>
    </row>
    <row r="165" customFormat="false" ht="15" hidden="false" customHeight="tru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3"/>
      <c r="K165" s="12"/>
      <c r="L165" s="14"/>
      <c r="M165" s="15" t="str">
        <f aca="false">IF($L165="","",$L165+Einstellungen!$B$3)</f>
        <v/>
      </c>
      <c r="N165" s="15" t="str">
        <f aca="false">IF($L165="","",$L165+Einstellungen!$B$4)</f>
        <v/>
      </c>
      <c r="O165" s="15" t="str">
        <f aca="false">IF($L165="","",$L165+Einstellungen!$B$5)</f>
        <v/>
      </c>
      <c r="P165" s="16" t="str">
        <f aca="true">IF($B165="","",IF(OR($K165="Gewonnen",$K165="Verloren",$K165="Kein Interesse"),"abgeschlossen",IF(OR($K165="Neu",$K165="Recherchiert",$K165=""),"Erstkontakt vorbereiten",IF($K165="Kontaktiert",IF($L165="","Datum eintragen",IF(TODAY()&gt;=$O165,"Follow-up 3 fällig",IF(TODAY()&gt;=$N165,"Follow-up 2 fällig",IF(TODAY()&gt;=$M165,"Follow-up 1 fällig","warten")))),IF($K165="Antwort","Antworten",IF($K165="Gespräch","Nachbereiten",IF($K165="Angebot","Angebot nachfassen","")))))))</f>
        <v/>
      </c>
      <c r="Q165" s="17"/>
      <c r="R165" s="13"/>
    </row>
    <row r="166" customFormat="false" ht="15" hidden="false" customHeight="tru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3"/>
      <c r="K166" s="12"/>
      <c r="L166" s="14"/>
      <c r="M166" s="15" t="str">
        <f aca="false">IF($L166="","",$L166+Einstellungen!$B$3)</f>
        <v/>
      </c>
      <c r="N166" s="15" t="str">
        <f aca="false">IF($L166="","",$L166+Einstellungen!$B$4)</f>
        <v/>
      </c>
      <c r="O166" s="15" t="str">
        <f aca="false">IF($L166="","",$L166+Einstellungen!$B$5)</f>
        <v/>
      </c>
      <c r="P166" s="16" t="str">
        <f aca="true">IF($B166="","",IF(OR($K166="Gewonnen",$K166="Verloren",$K166="Kein Interesse"),"abgeschlossen",IF(OR($K166="Neu",$K166="Recherchiert",$K166=""),"Erstkontakt vorbereiten",IF($K166="Kontaktiert",IF($L166="","Datum eintragen",IF(TODAY()&gt;=$O166,"Follow-up 3 fällig",IF(TODAY()&gt;=$N166,"Follow-up 2 fällig",IF(TODAY()&gt;=$M166,"Follow-up 1 fällig","warten")))),IF($K166="Antwort","Antworten",IF($K166="Gespräch","Nachbereiten",IF($K166="Angebot","Angebot nachfassen","")))))))</f>
        <v/>
      </c>
      <c r="Q166" s="17"/>
      <c r="R166" s="13"/>
    </row>
    <row r="167" customFormat="false" ht="15" hidden="false" customHeight="tru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3"/>
      <c r="K167" s="12"/>
      <c r="L167" s="14"/>
      <c r="M167" s="15" t="str">
        <f aca="false">IF($L167="","",$L167+Einstellungen!$B$3)</f>
        <v/>
      </c>
      <c r="N167" s="15" t="str">
        <f aca="false">IF($L167="","",$L167+Einstellungen!$B$4)</f>
        <v/>
      </c>
      <c r="O167" s="15" t="str">
        <f aca="false">IF($L167="","",$L167+Einstellungen!$B$5)</f>
        <v/>
      </c>
      <c r="P167" s="16" t="str">
        <f aca="true">IF($B167="","",IF(OR($K167="Gewonnen",$K167="Verloren",$K167="Kein Interesse"),"abgeschlossen",IF(OR($K167="Neu",$K167="Recherchiert",$K167=""),"Erstkontakt vorbereiten",IF($K167="Kontaktiert",IF($L167="","Datum eintragen",IF(TODAY()&gt;=$O167,"Follow-up 3 fällig",IF(TODAY()&gt;=$N167,"Follow-up 2 fällig",IF(TODAY()&gt;=$M167,"Follow-up 1 fällig","warten")))),IF($K167="Antwort","Antworten",IF($K167="Gespräch","Nachbereiten",IF($K167="Angebot","Angebot nachfassen","")))))))</f>
        <v/>
      </c>
      <c r="Q167" s="17"/>
      <c r="R167" s="13"/>
    </row>
    <row r="168" customFormat="false" ht="15" hidden="false" customHeight="tru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3"/>
      <c r="K168" s="12"/>
      <c r="L168" s="14"/>
      <c r="M168" s="15" t="str">
        <f aca="false">IF($L168="","",$L168+Einstellungen!$B$3)</f>
        <v/>
      </c>
      <c r="N168" s="15" t="str">
        <f aca="false">IF($L168="","",$L168+Einstellungen!$B$4)</f>
        <v/>
      </c>
      <c r="O168" s="15" t="str">
        <f aca="false">IF($L168="","",$L168+Einstellungen!$B$5)</f>
        <v/>
      </c>
      <c r="P168" s="16" t="str">
        <f aca="true">IF($B168="","",IF(OR($K168="Gewonnen",$K168="Verloren",$K168="Kein Interesse"),"abgeschlossen",IF(OR($K168="Neu",$K168="Recherchiert",$K168=""),"Erstkontakt vorbereiten",IF($K168="Kontaktiert",IF($L168="","Datum eintragen",IF(TODAY()&gt;=$O168,"Follow-up 3 fällig",IF(TODAY()&gt;=$N168,"Follow-up 2 fällig",IF(TODAY()&gt;=$M168,"Follow-up 1 fällig","warten")))),IF($K168="Antwort","Antworten",IF($K168="Gespräch","Nachbereiten",IF($K168="Angebot","Angebot nachfassen","")))))))</f>
        <v/>
      </c>
      <c r="Q168" s="17"/>
      <c r="R168" s="13"/>
    </row>
    <row r="169" customFormat="false" ht="15" hidden="false" customHeight="tru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3"/>
      <c r="K169" s="12"/>
      <c r="L169" s="14"/>
      <c r="M169" s="15" t="str">
        <f aca="false">IF($L169="","",$L169+Einstellungen!$B$3)</f>
        <v/>
      </c>
      <c r="N169" s="15" t="str">
        <f aca="false">IF($L169="","",$L169+Einstellungen!$B$4)</f>
        <v/>
      </c>
      <c r="O169" s="15" t="str">
        <f aca="false">IF($L169="","",$L169+Einstellungen!$B$5)</f>
        <v/>
      </c>
      <c r="P169" s="16" t="str">
        <f aca="true">IF($B169="","",IF(OR($K169="Gewonnen",$K169="Verloren",$K169="Kein Interesse"),"abgeschlossen",IF(OR($K169="Neu",$K169="Recherchiert",$K169=""),"Erstkontakt vorbereiten",IF($K169="Kontaktiert",IF($L169="","Datum eintragen",IF(TODAY()&gt;=$O169,"Follow-up 3 fällig",IF(TODAY()&gt;=$N169,"Follow-up 2 fällig",IF(TODAY()&gt;=$M169,"Follow-up 1 fällig","warten")))),IF($K169="Antwort","Antworten",IF($K169="Gespräch","Nachbereiten",IF($K169="Angebot","Angebot nachfassen","")))))))</f>
        <v/>
      </c>
      <c r="Q169" s="17"/>
      <c r="R169" s="13"/>
    </row>
    <row r="170" customFormat="false" ht="15" hidden="false" customHeight="tru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3"/>
      <c r="K170" s="12"/>
      <c r="L170" s="14"/>
      <c r="M170" s="15" t="str">
        <f aca="false">IF($L170="","",$L170+Einstellungen!$B$3)</f>
        <v/>
      </c>
      <c r="N170" s="15" t="str">
        <f aca="false">IF($L170="","",$L170+Einstellungen!$B$4)</f>
        <v/>
      </c>
      <c r="O170" s="15" t="str">
        <f aca="false">IF($L170="","",$L170+Einstellungen!$B$5)</f>
        <v/>
      </c>
      <c r="P170" s="16" t="str">
        <f aca="true">IF($B170="","",IF(OR($K170="Gewonnen",$K170="Verloren",$K170="Kein Interesse"),"abgeschlossen",IF(OR($K170="Neu",$K170="Recherchiert",$K170=""),"Erstkontakt vorbereiten",IF($K170="Kontaktiert",IF($L170="","Datum eintragen",IF(TODAY()&gt;=$O170,"Follow-up 3 fällig",IF(TODAY()&gt;=$N170,"Follow-up 2 fällig",IF(TODAY()&gt;=$M170,"Follow-up 1 fällig","warten")))),IF($K170="Antwort","Antworten",IF($K170="Gespräch","Nachbereiten",IF($K170="Angebot","Angebot nachfassen","")))))))</f>
        <v/>
      </c>
      <c r="Q170" s="17"/>
      <c r="R170" s="13"/>
    </row>
    <row r="171" customFormat="false" ht="15" hidden="false" customHeight="tru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3"/>
      <c r="K171" s="12"/>
      <c r="L171" s="14"/>
      <c r="M171" s="15" t="str">
        <f aca="false">IF($L171="","",$L171+Einstellungen!$B$3)</f>
        <v/>
      </c>
      <c r="N171" s="15" t="str">
        <f aca="false">IF($L171="","",$L171+Einstellungen!$B$4)</f>
        <v/>
      </c>
      <c r="O171" s="15" t="str">
        <f aca="false">IF($L171="","",$L171+Einstellungen!$B$5)</f>
        <v/>
      </c>
      <c r="P171" s="16" t="str">
        <f aca="true">IF($B171="","",IF(OR($K171="Gewonnen",$K171="Verloren",$K171="Kein Interesse"),"abgeschlossen",IF(OR($K171="Neu",$K171="Recherchiert",$K171=""),"Erstkontakt vorbereiten",IF($K171="Kontaktiert",IF($L171="","Datum eintragen",IF(TODAY()&gt;=$O171,"Follow-up 3 fällig",IF(TODAY()&gt;=$N171,"Follow-up 2 fällig",IF(TODAY()&gt;=$M171,"Follow-up 1 fällig","warten")))),IF($K171="Antwort","Antworten",IF($K171="Gespräch","Nachbereiten",IF($K171="Angebot","Angebot nachfassen","")))))))</f>
        <v/>
      </c>
      <c r="Q171" s="17"/>
      <c r="R171" s="13"/>
    </row>
    <row r="172" customFormat="false" ht="15" hidden="false" customHeight="tru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3"/>
      <c r="K172" s="12"/>
      <c r="L172" s="14"/>
      <c r="M172" s="15" t="str">
        <f aca="false">IF($L172="","",$L172+Einstellungen!$B$3)</f>
        <v/>
      </c>
      <c r="N172" s="15" t="str">
        <f aca="false">IF($L172="","",$L172+Einstellungen!$B$4)</f>
        <v/>
      </c>
      <c r="O172" s="15" t="str">
        <f aca="false">IF($L172="","",$L172+Einstellungen!$B$5)</f>
        <v/>
      </c>
      <c r="P172" s="16" t="str">
        <f aca="true">IF($B172="","",IF(OR($K172="Gewonnen",$K172="Verloren",$K172="Kein Interesse"),"abgeschlossen",IF(OR($K172="Neu",$K172="Recherchiert",$K172=""),"Erstkontakt vorbereiten",IF($K172="Kontaktiert",IF($L172="","Datum eintragen",IF(TODAY()&gt;=$O172,"Follow-up 3 fällig",IF(TODAY()&gt;=$N172,"Follow-up 2 fällig",IF(TODAY()&gt;=$M172,"Follow-up 1 fällig","warten")))),IF($K172="Antwort","Antworten",IF($K172="Gespräch","Nachbereiten",IF($K172="Angebot","Angebot nachfassen","")))))))</f>
        <v/>
      </c>
      <c r="Q172" s="17"/>
      <c r="R172" s="13"/>
    </row>
    <row r="173" customFormat="false" ht="15" hidden="false" customHeight="tru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3"/>
      <c r="K173" s="12"/>
      <c r="L173" s="14"/>
      <c r="M173" s="15" t="str">
        <f aca="false">IF($L173="","",$L173+Einstellungen!$B$3)</f>
        <v/>
      </c>
      <c r="N173" s="15" t="str">
        <f aca="false">IF($L173="","",$L173+Einstellungen!$B$4)</f>
        <v/>
      </c>
      <c r="O173" s="15" t="str">
        <f aca="false">IF($L173="","",$L173+Einstellungen!$B$5)</f>
        <v/>
      </c>
      <c r="P173" s="16" t="str">
        <f aca="true">IF($B173="","",IF(OR($K173="Gewonnen",$K173="Verloren",$K173="Kein Interesse"),"abgeschlossen",IF(OR($K173="Neu",$K173="Recherchiert",$K173=""),"Erstkontakt vorbereiten",IF($K173="Kontaktiert",IF($L173="","Datum eintragen",IF(TODAY()&gt;=$O173,"Follow-up 3 fällig",IF(TODAY()&gt;=$N173,"Follow-up 2 fällig",IF(TODAY()&gt;=$M173,"Follow-up 1 fällig","warten")))),IF($K173="Antwort","Antworten",IF($K173="Gespräch","Nachbereiten",IF($K173="Angebot","Angebot nachfassen","")))))))</f>
        <v/>
      </c>
      <c r="Q173" s="17"/>
      <c r="R173" s="13"/>
    </row>
    <row r="174" customFormat="false" ht="15" hidden="false" customHeight="tru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3"/>
      <c r="K174" s="12"/>
      <c r="L174" s="14"/>
      <c r="M174" s="15" t="str">
        <f aca="false">IF($L174="","",$L174+Einstellungen!$B$3)</f>
        <v/>
      </c>
      <c r="N174" s="15" t="str">
        <f aca="false">IF($L174="","",$L174+Einstellungen!$B$4)</f>
        <v/>
      </c>
      <c r="O174" s="15" t="str">
        <f aca="false">IF($L174="","",$L174+Einstellungen!$B$5)</f>
        <v/>
      </c>
      <c r="P174" s="16" t="str">
        <f aca="true">IF($B174="","",IF(OR($K174="Gewonnen",$K174="Verloren",$K174="Kein Interesse"),"abgeschlossen",IF(OR($K174="Neu",$K174="Recherchiert",$K174=""),"Erstkontakt vorbereiten",IF($K174="Kontaktiert",IF($L174="","Datum eintragen",IF(TODAY()&gt;=$O174,"Follow-up 3 fällig",IF(TODAY()&gt;=$N174,"Follow-up 2 fällig",IF(TODAY()&gt;=$M174,"Follow-up 1 fällig","warten")))),IF($K174="Antwort","Antworten",IF($K174="Gespräch","Nachbereiten",IF($K174="Angebot","Angebot nachfassen","")))))))</f>
        <v/>
      </c>
      <c r="Q174" s="17"/>
      <c r="R174" s="13"/>
    </row>
    <row r="175" customFormat="false" ht="15" hidden="false" customHeight="tru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3"/>
      <c r="K175" s="12"/>
      <c r="L175" s="14"/>
      <c r="M175" s="15" t="str">
        <f aca="false">IF($L175="","",$L175+Einstellungen!$B$3)</f>
        <v/>
      </c>
      <c r="N175" s="15" t="str">
        <f aca="false">IF($L175="","",$L175+Einstellungen!$B$4)</f>
        <v/>
      </c>
      <c r="O175" s="15" t="str">
        <f aca="false">IF($L175="","",$L175+Einstellungen!$B$5)</f>
        <v/>
      </c>
      <c r="P175" s="16" t="str">
        <f aca="true">IF($B175="","",IF(OR($K175="Gewonnen",$K175="Verloren",$K175="Kein Interesse"),"abgeschlossen",IF(OR($K175="Neu",$K175="Recherchiert",$K175=""),"Erstkontakt vorbereiten",IF($K175="Kontaktiert",IF($L175="","Datum eintragen",IF(TODAY()&gt;=$O175,"Follow-up 3 fällig",IF(TODAY()&gt;=$N175,"Follow-up 2 fällig",IF(TODAY()&gt;=$M175,"Follow-up 1 fällig","warten")))),IF($K175="Antwort","Antworten",IF($K175="Gespräch","Nachbereiten",IF($K175="Angebot","Angebot nachfassen","")))))))</f>
        <v/>
      </c>
      <c r="Q175" s="17"/>
      <c r="R175" s="13"/>
    </row>
    <row r="176" customFormat="false" ht="15" hidden="false" customHeight="tru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3"/>
      <c r="K176" s="12"/>
      <c r="L176" s="14"/>
      <c r="M176" s="15" t="str">
        <f aca="false">IF($L176="","",$L176+Einstellungen!$B$3)</f>
        <v/>
      </c>
      <c r="N176" s="15" t="str">
        <f aca="false">IF($L176="","",$L176+Einstellungen!$B$4)</f>
        <v/>
      </c>
      <c r="O176" s="15" t="str">
        <f aca="false">IF($L176="","",$L176+Einstellungen!$B$5)</f>
        <v/>
      </c>
      <c r="P176" s="16" t="str">
        <f aca="true">IF($B176="","",IF(OR($K176="Gewonnen",$K176="Verloren",$K176="Kein Interesse"),"abgeschlossen",IF(OR($K176="Neu",$K176="Recherchiert",$K176=""),"Erstkontakt vorbereiten",IF($K176="Kontaktiert",IF($L176="","Datum eintragen",IF(TODAY()&gt;=$O176,"Follow-up 3 fällig",IF(TODAY()&gt;=$N176,"Follow-up 2 fällig",IF(TODAY()&gt;=$M176,"Follow-up 1 fällig","warten")))),IF($K176="Antwort","Antworten",IF($K176="Gespräch","Nachbereiten",IF($K176="Angebot","Angebot nachfassen","")))))))</f>
        <v/>
      </c>
      <c r="Q176" s="17"/>
      <c r="R176" s="13"/>
    </row>
    <row r="177" customFormat="false" ht="15" hidden="false" customHeight="tru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3"/>
      <c r="K177" s="12"/>
      <c r="L177" s="14"/>
      <c r="M177" s="15" t="str">
        <f aca="false">IF($L177="","",$L177+Einstellungen!$B$3)</f>
        <v/>
      </c>
      <c r="N177" s="15" t="str">
        <f aca="false">IF($L177="","",$L177+Einstellungen!$B$4)</f>
        <v/>
      </c>
      <c r="O177" s="15" t="str">
        <f aca="false">IF($L177="","",$L177+Einstellungen!$B$5)</f>
        <v/>
      </c>
      <c r="P177" s="16" t="str">
        <f aca="true">IF($B177="","",IF(OR($K177="Gewonnen",$K177="Verloren",$K177="Kein Interesse"),"abgeschlossen",IF(OR($K177="Neu",$K177="Recherchiert",$K177=""),"Erstkontakt vorbereiten",IF($K177="Kontaktiert",IF($L177="","Datum eintragen",IF(TODAY()&gt;=$O177,"Follow-up 3 fällig",IF(TODAY()&gt;=$N177,"Follow-up 2 fällig",IF(TODAY()&gt;=$M177,"Follow-up 1 fällig","warten")))),IF($K177="Antwort","Antworten",IF($K177="Gespräch","Nachbereiten",IF($K177="Angebot","Angebot nachfassen","")))))))</f>
        <v/>
      </c>
      <c r="Q177" s="17"/>
      <c r="R177" s="13"/>
    </row>
    <row r="178" customFormat="false" ht="15" hidden="false" customHeight="tru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3"/>
      <c r="K178" s="12"/>
      <c r="L178" s="14"/>
      <c r="M178" s="15" t="str">
        <f aca="false">IF($L178="","",$L178+Einstellungen!$B$3)</f>
        <v/>
      </c>
      <c r="N178" s="15" t="str">
        <f aca="false">IF($L178="","",$L178+Einstellungen!$B$4)</f>
        <v/>
      </c>
      <c r="O178" s="15" t="str">
        <f aca="false">IF($L178="","",$L178+Einstellungen!$B$5)</f>
        <v/>
      </c>
      <c r="P178" s="16" t="str">
        <f aca="true">IF($B178="","",IF(OR($K178="Gewonnen",$K178="Verloren",$K178="Kein Interesse"),"abgeschlossen",IF(OR($K178="Neu",$K178="Recherchiert",$K178=""),"Erstkontakt vorbereiten",IF($K178="Kontaktiert",IF($L178="","Datum eintragen",IF(TODAY()&gt;=$O178,"Follow-up 3 fällig",IF(TODAY()&gt;=$N178,"Follow-up 2 fällig",IF(TODAY()&gt;=$M178,"Follow-up 1 fällig","warten")))),IF($K178="Antwort","Antworten",IF($K178="Gespräch","Nachbereiten",IF($K178="Angebot","Angebot nachfassen","")))))))</f>
        <v/>
      </c>
      <c r="Q178" s="17"/>
      <c r="R178" s="13"/>
    </row>
    <row r="179" customFormat="false" ht="15" hidden="false" customHeight="tru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3"/>
      <c r="K179" s="12"/>
      <c r="L179" s="14"/>
      <c r="M179" s="15" t="str">
        <f aca="false">IF($L179="","",$L179+Einstellungen!$B$3)</f>
        <v/>
      </c>
      <c r="N179" s="15" t="str">
        <f aca="false">IF($L179="","",$L179+Einstellungen!$B$4)</f>
        <v/>
      </c>
      <c r="O179" s="15" t="str">
        <f aca="false">IF($L179="","",$L179+Einstellungen!$B$5)</f>
        <v/>
      </c>
      <c r="P179" s="16" t="str">
        <f aca="true">IF($B179="","",IF(OR($K179="Gewonnen",$K179="Verloren",$K179="Kein Interesse"),"abgeschlossen",IF(OR($K179="Neu",$K179="Recherchiert",$K179=""),"Erstkontakt vorbereiten",IF($K179="Kontaktiert",IF($L179="","Datum eintragen",IF(TODAY()&gt;=$O179,"Follow-up 3 fällig",IF(TODAY()&gt;=$N179,"Follow-up 2 fällig",IF(TODAY()&gt;=$M179,"Follow-up 1 fällig","warten")))),IF($K179="Antwort","Antworten",IF($K179="Gespräch","Nachbereiten",IF($K179="Angebot","Angebot nachfassen","")))))))</f>
        <v/>
      </c>
      <c r="Q179" s="17"/>
      <c r="R179" s="13"/>
    </row>
    <row r="180" customFormat="false" ht="15" hidden="false" customHeight="tru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3"/>
      <c r="K180" s="12"/>
      <c r="L180" s="14"/>
      <c r="M180" s="15" t="str">
        <f aca="false">IF($L180="","",$L180+Einstellungen!$B$3)</f>
        <v/>
      </c>
      <c r="N180" s="15" t="str">
        <f aca="false">IF($L180="","",$L180+Einstellungen!$B$4)</f>
        <v/>
      </c>
      <c r="O180" s="15" t="str">
        <f aca="false">IF($L180="","",$L180+Einstellungen!$B$5)</f>
        <v/>
      </c>
      <c r="P180" s="16" t="str">
        <f aca="true">IF($B180="","",IF(OR($K180="Gewonnen",$K180="Verloren",$K180="Kein Interesse"),"abgeschlossen",IF(OR($K180="Neu",$K180="Recherchiert",$K180=""),"Erstkontakt vorbereiten",IF($K180="Kontaktiert",IF($L180="","Datum eintragen",IF(TODAY()&gt;=$O180,"Follow-up 3 fällig",IF(TODAY()&gt;=$N180,"Follow-up 2 fällig",IF(TODAY()&gt;=$M180,"Follow-up 1 fällig","warten")))),IF($K180="Antwort","Antworten",IF($K180="Gespräch","Nachbereiten",IF($K180="Angebot","Angebot nachfassen","")))))))</f>
        <v/>
      </c>
      <c r="Q180" s="17"/>
      <c r="R180" s="13"/>
    </row>
    <row r="181" customFormat="false" ht="15" hidden="false" customHeight="tru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3"/>
      <c r="K181" s="12"/>
      <c r="L181" s="14"/>
      <c r="M181" s="15" t="str">
        <f aca="false">IF($L181="","",$L181+Einstellungen!$B$3)</f>
        <v/>
      </c>
      <c r="N181" s="15" t="str">
        <f aca="false">IF($L181="","",$L181+Einstellungen!$B$4)</f>
        <v/>
      </c>
      <c r="O181" s="15" t="str">
        <f aca="false">IF($L181="","",$L181+Einstellungen!$B$5)</f>
        <v/>
      </c>
      <c r="P181" s="16" t="str">
        <f aca="true">IF($B181="","",IF(OR($K181="Gewonnen",$K181="Verloren",$K181="Kein Interesse"),"abgeschlossen",IF(OR($K181="Neu",$K181="Recherchiert",$K181=""),"Erstkontakt vorbereiten",IF($K181="Kontaktiert",IF($L181="","Datum eintragen",IF(TODAY()&gt;=$O181,"Follow-up 3 fällig",IF(TODAY()&gt;=$N181,"Follow-up 2 fällig",IF(TODAY()&gt;=$M181,"Follow-up 1 fällig","warten")))),IF($K181="Antwort","Antworten",IF($K181="Gespräch","Nachbereiten",IF($K181="Angebot","Angebot nachfassen","")))))))</f>
        <v/>
      </c>
      <c r="Q181" s="17"/>
      <c r="R181" s="13"/>
    </row>
    <row r="182" customFormat="false" ht="15" hidden="false" customHeight="tru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3"/>
      <c r="K182" s="12"/>
      <c r="L182" s="14"/>
      <c r="M182" s="15" t="str">
        <f aca="false">IF($L182="","",$L182+Einstellungen!$B$3)</f>
        <v/>
      </c>
      <c r="N182" s="15" t="str">
        <f aca="false">IF($L182="","",$L182+Einstellungen!$B$4)</f>
        <v/>
      </c>
      <c r="O182" s="15" t="str">
        <f aca="false">IF($L182="","",$L182+Einstellungen!$B$5)</f>
        <v/>
      </c>
      <c r="P182" s="16" t="str">
        <f aca="true">IF($B182="","",IF(OR($K182="Gewonnen",$K182="Verloren",$K182="Kein Interesse"),"abgeschlossen",IF(OR($K182="Neu",$K182="Recherchiert",$K182=""),"Erstkontakt vorbereiten",IF($K182="Kontaktiert",IF($L182="","Datum eintragen",IF(TODAY()&gt;=$O182,"Follow-up 3 fällig",IF(TODAY()&gt;=$N182,"Follow-up 2 fällig",IF(TODAY()&gt;=$M182,"Follow-up 1 fällig","warten")))),IF($K182="Antwort","Antworten",IF($K182="Gespräch","Nachbereiten",IF($K182="Angebot","Angebot nachfassen","")))))))</f>
        <v/>
      </c>
      <c r="Q182" s="17"/>
      <c r="R182" s="13"/>
    </row>
    <row r="183" customFormat="false" ht="15" hidden="false" customHeight="tru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3"/>
      <c r="K183" s="12"/>
      <c r="L183" s="14"/>
      <c r="M183" s="15" t="str">
        <f aca="false">IF($L183="","",$L183+Einstellungen!$B$3)</f>
        <v/>
      </c>
      <c r="N183" s="15" t="str">
        <f aca="false">IF($L183="","",$L183+Einstellungen!$B$4)</f>
        <v/>
      </c>
      <c r="O183" s="15" t="str">
        <f aca="false">IF($L183="","",$L183+Einstellungen!$B$5)</f>
        <v/>
      </c>
      <c r="P183" s="16" t="str">
        <f aca="true">IF($B183="","",IF(OR($K183="Gewonnen",$K183="Verloren",$K183="Kein Interesse"),"abgeschlossen",IF(OR($K183="Neu",$K183="Recherchiert",$K183=""),"Erstkontakt vorbereiten",IF($K183="Kontaktiert",IF($L183="","Datum eintragen",IF(TODAY()&gt;=$O183,"Follow-up 3 fällig",IF(TODAY()&gt;=$N183,"Follow-up 2 fällig",IF(TODAY()&gt;=$M183,"Follow-up 1 fällig","warten")))),IF($K183="Antwort","Antworten",IF($K183="Gespräch","Nachbereiten",IF($K183="Angebot","Angebot nachfassen","")))))))</f>
        <v/>
      </c>
      <c r="Q183" s="17"/>
      <c r="R183" s="13"/>
    </row>
    <row r="184" customFormat="false" ht="15" hidden="false" customHeight="tru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3"/>
      <c r="K184" s="12"/>
      <c r="L184" s="14"/>
      <c r="M184" s="15" t="str">
        <f aca="false">IF($L184="","",$L184+Einstellungen!$B$3)</f>
        <v/>
      </c>
      <c r="N184" s="15" t="str">
        <f aca="false">IF($L184="","",$L184+Einstellungen!$B$4)</f>
        <v/>
      </c>
      <c r="O184" s="15" t="str">
        <f aca="false">IF($L184="","",$L184+Einstellungen!$B$5)</f>
        <v/>
      </c>
      <c r="P184" s="16" t="str">
        <f aca="true">IF($B184="","",IF(OR($K184="Gewonnen",$K184="Verloren",$K184="Kein Interesse"),"abgeschlossen",IF(OR($K184="Neu",$K184="Recherchiert",$K184=""),"Erstkontakt vorbereiten",IF($K184="Kontaktiert",IF($L184="","Datum eintragen",IF(TODAY()&gt;=$O184,"Follow-up 3 fällig",IF(TODAY()&gt;=$N184,"Follow-up 2 fällig",IF(TODAY()&gt;=$M184,"Follow-up 1 fällig","warten")))),IF($K184="Antwort","Antworten",IF($K184="Gespräch","Nachbereiten",IF($K184="Angebot","Angebot nachfassen","")))))))</f>
        <v/>
      </c>
      <c r="Q184" s="17"/>
      <c r="R184" s="13"/>
    </row>
    <row r="185" customFormat="false" ht="15" hidden="false" customHeight="tru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3"/>
      <c r="K185" s="12"/>
      <c r="L185" s="14"/>
      <c r="M185" s="15" t="str">
        <f aca="false">IF($L185="","",$L185+Einstellungen!$B$3)</f>
        <v/>
      </c>
      <c r="N185" s="15" t="str">
        <f aca="false">IF($L185="","",$L185+Einstellungen!$B$4)</f>
        <v/>
      </c>
      <c r="O185" s="15" t="str">
        <f aca="false">IF($L185="","",$L185+Einstellungen!$B$5)</f>
        <v/>
      </c>
      <c r="P185" s="16" t="str">
        <f aca="true">IF($B185="","",IF(OR($K185="Gewonnen",$K185="Verloren",$K185="Kein Interesse"),"abgeschlossen",IF(OR($K185="Neu",$K185="Recherchiert",$K185=""),"Erstkontakt vorbereiten",IF($K185="Kontaktiert",IF($L185="","Datum eintragen",IF(TODAY()&gt;=$O185,"Follow-up 3 fällig",IF(TODAY()&gt;=$N185,"Follow-up 2 fällig",IF(TODAY()&gt;=$M185,"Follow-up 1 fällig","warten")))),IF($K185="Antwort","Antworten",IF($K185="Gespräch","Nachbereiten",IF($K185="Angebot","Angebot nachfassen","")))))))</f>
        <v/>
      </c>
      <c r="Q185" s="17"/>
      <c r="R185" s="13"/>
    </row>
    <row r="186" customFormat="false" ht="15" hidden="false" customHeight="tru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3"/>
      <c r="K186" s="12"/>
      <c r="L186" s="14"/>
      <c r="M186" s="15" t="str">
        <f aca="false">IF($L186="","",$L186+Einstellungen!$B$3)</f>
        <v/>
      </c>
      <c r="N186" s="15" t="str">
        <f aca="false">IF($L186="","",$L186+Einstellungen!$B$4)</f>
        <v/>
      </c>
      <c r="O186" s="15" t="str">
        <f aca="false">IF($L186="","",$L186+Einstellungen!$B$5)</f>
        <v/>
      </c>
      <c r="P186" s="16" t="str">
        <f aca="true">IF($B186="","",IF(OR($K186="Gewonnen",$K186="Verloren",$K186="Kein Interesse"),"abgeschlossen",IF(OR($K186="Neu",$K186="Recherchiert",$K186=""),"Erstkontakt vorbereiten",IF($K186="Kontaktiert",IF($L186="","Datum eintragen",IF(TODAY()&gt;=$O186,"Follow-up 3 fällig",IF(TODAY()&gt;=$N186,"Follow-up 2 fällig",IF(TODAY()&gt;=$M186,"Follow-up 1 fällig","warten")))),IF($K186="Antwort","Antworten",IF($K186="Gespräch","Nachbereiten",IF($K186="Angebot","Angebot nachfassen","")))))))</f>
        <v/>
      </c>
      <c r="Q186" s="17"/>
      <c r="R186" s="13"/>
    </row>
    <row r="187" customFormat="false" ht="15" hidden="false" customHeight="tru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3"/>
      <c r="K187" s="12"/>
      <c r="L187" s="14"/>
      <c r="M187" s="15" t="str">
        <f aca="false">IF($L187="","",$L187+Einstellungen!$B$3)</f>
        <v/>
      </c>
      <c r="N187" s="15" t="str">
        <f aca="false">IF($L187="","",$L187+Einstellungen!$B$4)</f>
        <v/>
      </c>
      <c r="O187" s="15" t="str">
        <f aca="false">IF($L187="","",$L187+Einstellungen!$B$5)</f>
        <v/>
      </c>
      <c r="P187" s="16" t="str">
        <f aca="true">IF($B187="","",IF(OR($K187="Gewonnen",$K187="Verloren",$K187="Kein Interesse"),"abgeschlossen",IF(OR($K187="Neu",$K187="Recherchiert",$K187=""),"Erstkontakt vorbereiten",IF($K187="Kontaktiert",IF($L187="","Datum eintragen",IF(TODAY()&gt;=$O187,"Follow-up 3 fällig",IF(TODAY()&gt;=$N187,"Follow-up 2 fällig",IF(TODAY()&gt;=$M187,"Follow-up 1 fällig","warten")))),IF($K187="Antwort","Antworten",IF($K187="Gespräch","Nachbereiten",IF($K187="Angebot","Angebot nachfassen","")))))))</f>
        <v/>
      </c>
      <c r="Q187" s="17"/>
      <c r="R187" s="13"/>
    </row>
    <row r="188" customFormat="false" ht="15" hidden="false" customHeight="tru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3"/>
      <c r="K188" s="12"/>
      <c r="L188" s="14"/>
      <c r="M188" s="15" t="str">
        <f aca="false">IF($L188="","",$L188+Einstellungen!$B$3)</f>
        <v/>
      </c>
      <c r="N188" s="15" t="str">
        <f aca="false">IF($L188="","",$L188+Einstellungen!$B$4)</f>
        <v/>
      </c>
      <c r="O188" s="15" t="str">
        <f aca="false">IF($L188="","",$L188+Einstellungen!$B$5)</f>
        <v/>
      </c>
      <c r="P188" s="16" t="str">
        <f aca="true">IF($B188="","",IF(OR($K188="Gewonnen",$K188="Verloren",$K188="Kein Interesse"),"abgeschlossen",IF(OR($K188="Neu",$K188="Recherchiert",$K188=""),"Erstkontakt vorbereiten",IF($K188="Kontaktiert",IF($L188="","Datum eintragen",IF(TODAY()&gt;=$O188,"Follow-up 3 fällig",IF(TODAY()&gt;=$N188,"Follow-up 2 fällig",IF(TODAY()&gt;=$M188,"Follow-up 1 fällig","warten")))),IF($K188="Antwort","Antworten",IF($K188="Gespräch","Nachbereiten",IF($K188="Angebot","Angebot nachfassen","")))))))</f>
        <v/>
      </c>
      <c r="Q188" s="17"/>
      <c r="R188" s="13"/>
    </row>
    <row r="189" customFormat="false" ht="15" hidden="false" customHeight="tru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3"/>
      <c r="K189" s="12"/>
      <c r="L189" s="14"/>
      <c r="M189" s="15" t="str">
        <f aca="false">IF($L189="","",$L189+Einstellungen!$B$3)</f>
        <v/>
      </c>
      <c r="N189" s="15" t="str">
        <f aca="false">IF($L189="","",$L189+Einstellungen!$B$4)</f>
        <v/>
      </c>
      <c r="O189" s="15" t="str">
        <f aca="false">IF($L189="","",$L189+Einstellungen!$B$5)</f>
        <v/>
      </c>
      <c r="P189" s="16" t="str">
        <f aca="true">IF($B189="","",IF(OR($K189="Gewonnen",$K189="Verloren",$K189="Kein Interesse"),"abgeschlossen",IF(OR($K189="Neu",$K189="Recherchiert",$K189=""),"Erstkontakt vorbereiten",IF($K189="Kontaktiert",IF($L189="","Datum eintragen",IF(TODAY()&gt;=$O189,"Follow-up 3 fällig",IF(TODAY()&gt;=$N189,"Follow-up 2 fällig",IF(TODAY()&gt;=$M189,"Follow-up 1 fällig","warten")))),IF($K189="Antwort","Antworten",IF($K189="Gespräch","Nachbereiten",IF($K189="Angebot","Angebot nachfassen","")))))))</f>
        <v/>
      </c>
      <c r="Q189" s="17"/>
      <c r="R189" s="13"/>
    </row>
    <row r="190" customFormat="false" ht="15" hidden="false" customHeight="tru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3"/>
      <c r="K190" s="12"/>
      <c r="L190" s="14"/>
      <c r="M190" s="15" t="str">
        <f aca="false">IF($L190="","",$L190+Einstellungen!$B$3)</f>
        <v/>
      </c>
      <c r="N190" s="15" t="str">
        <f aca="false">IF($L190="","",$L190+Einstellungen!$B$4)</f>
        <v/>
      </c>
      <c r="O190" s="15" t="str">
        <f aca="false">IF($L190="","",$L190+Einstellungen!$B$5)</f>
        <v/>
      </c>
      <c r="P190" s="16" t="str">
        <f aca="true">IF($B190="","",IF(OR($K190="Gewonnen",$K190="Verloren",$K190="Kein Interesse"),"abgeschlossen",IF(OR($K190="Neu",$K190="Recherchiert",$K190=""),"Erstkontakt vorbereiten",IF($K190="Kontaktiert",IF($L190="","Datum eintragen",IF(TODAY()&gt;=$O190,"Follow-up 3 fällig",IF(TODAY()&gt;=$N190,"Follow-up 2 fällig",IF(TODAY()&gt;=$M190,"Follow-up 1 fällig","warten")))),IF($K190="Antwort","Antworten",IF($K190="Gespräch","Nachbereiten",IF($K190="Angebot","Angebot nachfassen","")))))))</f>
        <v/>
      </c>
      <c r="Q190" s="17"/>
      <c r="R190" s="13"/>
    </row>
    <row r="191" customFormat="false" ht="15" hidden="false" customHeight="tru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3"/>
      <c r="K191" s="12"/>
      <c r="L191" s="14"/>
      <c r="M191" s="15" t="str">
        <f aca="false">IF($L191="","",$L191+Einstellungen!$B$3)</f>
        <v/>
      </c>
      <c r="N191" s="15" t="str">
        <f aca="false">IF($L191="","",$L191+Einstellungen!$B$4)</f>
        <v/>
      </c>
      <c r="O191" s="15" t="str">
        <f aca="false">IF($L191="","",$L191+Einstellungen!$B$5)</f>
        <v/>
      </c>
      <c r="P191" s="16" t="str">
        <f aca="true">IF($B191="","",IF(OR($K191="Gewonnen",$K191="Verloren",$K191="Kein Interesse"),"abgeschlossen",IF(OR($K191="Neu",$K191="Recherchiert",$K191=""),"Erstkontakt vorbereiten",IF($K191="Kontaktiert",IF($L191="","Datum eintragen",IF(TODAY()&gt;=$O191,"Follow-up 3 fällig",IF(TODAY()&gt;=$N191,"Follow-up 2 fällig",IF(TODAY()&gt;=$M191,"Follow-up 1 fällig","warten")))),IF($K191="Antwort","Antworten",IF($K191="Gespräch","Nachbereiten",IF($K191="Angebot","Angebot nachfassen","")))))))</f>
        <v/>
      </c>
      <c r="Q191" s="17"/>
      <c r="R191" s="13"/>
    </row>
    <row r="192" customFormat="false" ht="15" hidden="false" customHeight="tru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3"/>
      <c r="K192" s="12"/>
      <c r="L192" s="14"/>
      <c r="M192" s="15" t="str">
        <f aca="false">IF($L192="","",$L192+Einstellungen!$B$3)</f>
        <v/>
      </c>
      <c r="N192" s="15" t="str">
        <f aca="false">IF($L192="","",$L192+Einstellungen!$B$4)</f>
        <v/>
      </c>
      <c r="O192" s="15" t="str">
        <f aca="false">IF($L192="","",$L192+Einstellungen!$B$5)</f>
        <v/>
      </c>
      <c r="P192" s="16" t="str">
        <f aca="true">IF($B192="","",IF(OR($K192="Gewonnen",$K192="Verloren",$K192="Kein Interesse"),"abgeschlossen",IF(OR($K192="Neu",$K192="Recherchiert",$K192=""),"Erstkontakt vorbereiten",IF($K192="Kontaktiert",IF($L192="","Datum eintragen",IF(TODAY()&gt;=$O192,"Follow-up 3 fällig",IF(TODAY()&gt;=$N192,"Follow-up 2 fällig",IF(TODAY()&gt;=$M192,"Follow-up 1 fällig","warten")))),IF($K192="Antwort","Antworten",IF($K192="Gespräch","Nachbereiten",IF($K192="Angebot","Angebot nachfassen","")))))))</f>
        <v/>
      </c>
      <c r="Q192" s="17"/>
      <c r="R192" s="13"/>
    </row>
    <row r="193" customFormat="false" ht="15" hidden="false" customHeight="tru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3"/>
      <c r="K193" s="12"/>
      <c r="L193" s="14"/>
      <c r="M193" s="15" t="str">
        <f aca="false">IF($L193="","",$L193+Einstellungen!$B$3)</f>
        <v/>
      </c>
      <c r="N193" s="15" t="str">
        <f aca="false">IF($L193="","",$L193+Einstellungen!$B$4)</f>
        <v/>
      </c>
      <c r="O193" s="15" t="str">
        <f aca="false">IF($L193="","",$L193+Einstellungen!$B$5)</f>
        <v/>
      </c>
      <c r="P193" s="16" t="str">
        <f aca="true">IF($B193="","",IF(OR($K193="Gewonnen",$K193="Verloren",$K193="Kein Interesse"),"abgeschlossen",IF(OR($K193="Neu",$K193="Recherchiert",$K193=""),"Erstkontakt vorbereiten",IF($K193="Kontaktiert",IF($L193="","Datum eintragen",IF(TODAY()&gt;=$O193,"Follow-up 3 fällig",IF(TODAY()&gt;=$N193,"Follow-up 2 fällig",IF(TODAY()&gt;=$M193,"Follow-up 1 fällig","warten")))),IF($K193="Antwort","Antworten",IF($K193="Gespräch","Nachbereiten",IF($K193="Angebot","Angebot nachfassen","")))))))</f>
        <v/>
      </c>
      <c r="Q193" s="17"/>
      <c r="R193" s="13"/>
    </row>
    <row r="194" customFormat="false" ht="15" hidden="false" customHeight="tru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3"/>
      <c r="K194" s="12"/>
      <c r="L194" s="14"/>
      <c r="M194" s="15" t="str">
        <f aca="false">IF($L194="","",$L194+Einstellungen!$B$3)</f>
        <v/>
      </c>
      <c r="N194" s="15" t="str">
        <f aca="false">IF($L194="","",$L194+Einstellungen!$B$4)</f>
        <v/>
      </c>
      <c r="O194" s="15" t="str">
        <f aca="false">IF($L194="","",$L194+Einstellungen!$B$5)</f>
        <v/>
      </c>
      <c r="P194" s="16" t="str">
        <f aca="true">IF($B194="","",IF(OR($K194="Gewonnen",$K194="Verloren",$K194="Kein Interesse"),"abgeschlossen",IF(OR($K194="Neu",$K194="Recherchiert",$K194=""),"Erstkontakt vorbereiten",IF($K194="Kontaktiert",IF($L194="","Datum eintragen",IF(TODAY()&gt;=$O194,"Follow-up 3 fällig",IF(TODAY()&gt;=$N194,"Follow-up 2 fällig",IF(TODAY()&gt;=$M194,"Follow-up 1 fällig","warten")))),IF($K194="Antwort","Antworten",IF($K194="Gespräch","Nachbereiten",IF($K194="Angebot","Angebot nachfassen","")))))))</f>
        <v/>
      </c>
      <c r="Q194" s="17"/>
      <c r="R194" s="13"/>
    </row>
    <row r="195" customFormat="false" ht="15" hidden="false" customHeight="tru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3"/>
      <c r="K195" s="12"/>
      <c r="L195" s="14"/>
      <c r="M195" s="15" t="str">
        <f aca="false">IF($L195="","",$L195+Einstellungen!$B$3)</f>
        <v/>
      </c>
      <c r="N195" s="15" t="str">
        <f aca="false">IF($L195="","",$L195+Einstellungen!$B$4)</f>
        <v/>
      </c>
      <c r="O195" s="15" t="str">
        <f aca="false">IF($L195="","",$L195+Einstellungen!$B$5)</f>
        <v/>
      </c>
      <c r="P195" s="16" t="str">
        <f aca="true">IF($B195="","",IF(OR($K195="Gewonnen",$K195="Verloren",$K195="Kein Interesse"),"abgeschlossen",IF(OR($K195="Neu",$K195="Recherchiert",$K195=""),"Erstkontakt vorbereiten",IF($K195="Kontaktiert",IF($L195="","Datum eintragen",IF(TODAY()&gt;=$O195,"Follow-up 3 fällig",IF(TODAY()&gt;=$N195,"Follow-up 2 fällig",IF(TODAY()&gt;=$M195,"Follow-up 1 fällig","warten")))),IF($K195="Antwort","Antworten",IF($K195="Gespräch","Nachbereiten",IF($K195="Angebot","Angebot nachfassen","")))))))</f>
        <v/>
      </c>
      <c r="Q195" s="17"/>
      <c r="R195" s="13"/>
    </row>
    <row r="196" customFormat="false" ht="15" hidden="false" customHeight="tru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3"/>
      <c r="K196" s="12"/>
      <c r="L196" s="14"/>
      <c r="M196" s="15" t="str">
        <f aca="false">IF($L196="","",$L196+Einstellungen!$B$3)</f>
        <v/>
      </c>
      <c r="N196" s="15" t="str">
        <f aca="false">IF($L196="","",$L196+Einstellungen!$B$4)</f>
        <v/>
      </c>
      <c r="O196" s="15" t="str">
        <f aca="false">IF($L196="","",$L196+Einstellungen!$B$5)</f>
        <v/>
      </c>
      <c r="P196" s="16" t="str">
        <f aca="true">IF($B196="","",IF(OR($K196="Gewonnen",$K196="Verloren",$K196="Kein Interesse"),"abgeschlossen",IF(OR($K196="Neu",$K196="Recherchiert",$K196=""),"Erstkontakt vorbereiten",IF($K196="Kontaktiert",IF($L196="","Datum eintragen",IF(TODAY()&gt;=$O196,"Follow-up 3 fällig",IF(TODAY()&gt;=$N196,"Follow-up 2 fällig",IF(TODAY()&gt;=$M196,"Follow-up 1 fällig","warten")))),IF($K196="Antwort","Antworten",IF($K196="Gespräch","Nachbereiten",IF($K196="Angebot","Angebot nachfassen","")))))))</f>
        <v/>
      </c>
      <c r="Q196" s="17"/>
      <c r="R196" s="13"/>
    </row>
    <row r="197" customFormat="false" ht="15" hidden="false" customHeight="tru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3"/>
      <c r="K197" s="12"/>
      <c r="L197" s="14"/>
      <c r="M197" s="15" t="str">
        <f aca="false">IF($L197="","",$L197+Einstellungen!$B$3)</f>
        <v/>
      </c>
      <c r="N197" s="15" t="str">
        <f aca="false">IF($L197="","",$L197+Einstellungen!$B$4)</f>
        <v/>
      </c>
      <c r="O197" s="15" t="str">
        <f aca="false">IF($L197="","",$L197+Einstellungen!$B$5)</f>
        <v/>
      </c>
      <c r="P197" s="16" t="str">
        <f aca="true">IF($B197="","",IF(OR($K197="Gewonnen",$K197="Verloren",$K197="Kein Interesse"),"abgeschlossen",IF(OR($K197="Neu",$K197="Recherchiert",$K197=""),"Erstkontakt vorbereiten",IF($K197="Kontaktiert",IF($L197="","Datum eintragen",IF(TODAY()&gt;=$O197,"Follow-up 3 fällig",IF(TODAY()&gt;=$N197,"Follow-up 2 fällig",IF(TODAY()&gt;=$M197,"Follow-up 1 fällig","warten")))),IF($K197="Antwort","Antworten",IF($K197="Gespräch","Nachbereiten",IF($K197="Angebot","Angebot nachfassen","")))))))</f>
        <v/>
      </c>
      <c r="Q197" s="17"/>
      <c r="R197" s="13"/>
    </row>
    <row r="198" customFormat="false" ht="15" hidden="false" customHeight="tru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3"/>
      <c r="K198" s="12"/>
      <c r="L198" s="14"/>
      <c r="M198" s="15" t="str">
        <f aca="false">IF($L198="","",$L198+Einstellungen!$B$3)</f>
        <v/>
      </c>
      <c r="N198" s="15" t="str">
        <f aca="false">IF($L198="","",$L198+Einstellungen!$B$4)</f>
        <v/>
      </c>
      <c r="O198" s="15" t="str">
        <f aca="false">IF($L198="","",$L198+Einstellungen!$B$5)</f>
        <v/>
      </c>
      <c r="P198" s="16" t="str">
        <f aca="true">IF($B198="","",IF(OR($K198="Gewonnen",$K198="Verloren",$K198="Kein Interesse"),"abgeschlossen",IF(OR($K198="Neu",$K198="Recherchiert",$K198=""),"Erstkontakt vorbereiten",IF($K198="Kontaktiert",IF($L198="","Datum eintragen",IF(TODAY()&gt;=$O198,"Follow-up 3 fällig",IF(TODAY()&gt;=$N198,"Follow-up 2 fällig",IF(TODAY()&gt;=$M198,"Follow-up 1 fällig","warten")))),IF($K198="Antwort","Antworten",IF($K198="Gespräch","Nachbereiten",IF($K198="Angebot","Angebot nachfassen","")))))))</f>
        <v/>
      </c>
      <c r="Q198" s="17"/>
      <c r="R198" s="13"/>
    </row>
    <row r="199" customFormat="false" ht="15" hidden="false" customHeight="tru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3"/>
      <c r="K199" s="12"/>
      <c r="L199" s="14"/>
      <c r="M199" s="15" t="str">
        <f aca="false">IF($L199="","",$L199+Einstellungen!$B$3)</f>
        <v/>
      </c>
      <c r="N199" s="15" t="str">
        <f aca="false">IF($L199="","",$L199+Einstellungen!$B$4)</f>
        <v/>
      </c>
      <c r="O199" s="15" t="str">
        <f aca="false">IF($L199="","",$L199+Einstellungen!$B$5)</f>
        <v/>
      </c>
      <c r="P199" s="16" t="str">
        <f aca="true">IF($B199="","",IF(OR($K199="Gewonnen",$K199="Verloren",$K199="Kein Interesse"),"abgeschlossen",IF(OR($K199="Neu",$K199="Recherchiert",$K199=""),"Erstkontakt vorbereiten",IF($K199="Kontaktiert",IF($L199="","Datum eintragen",IF(TODAY()&gt;=$O199,"Follow-up 3 fällig",IF(TODAY()&gt;=$N199,"Follow-up 2 fällig",IF(TODAY()&gt;=$M199,"Follow-up 1 fällig","warten")))),IF($K199="Antwort","Antworten",IF($K199="Gespräch","Nachbereiten",IF($K199="Angebot","Angebot nachfassen","")))))))</f>
        <v/>
      </c>
      <c r="Q199" s="17"/>
      <c r="R199" s="13"/>
    </row>
    <row r="200" customFormat="false" ht="15" hidden="false" customHeight="tru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3"/>
      <c r="K200" s="12"/>
      <c r="L200" s="14"/>
      <c r="M200" s="15" t="str">
        <f aca="false">IF($L200="","",$L200+Einstellungen!$B$3)</f>
        <v/>
      </c>
      <c r="N200" s="15" t="str">
        <f aca="false">IF($L200="","",$L200+Einstellungen!$B$4)</f>
        <v/>
      </c>
      <c r="O200" s="15" t="str">
        <f aca="false">IF($L200="","",$L200+Einstellungen!$B$5)</f>
        <v/>
      </c>
      <c r="P200" s="16" t="str">
        <f aca="true">IF($B200="","",IF(OR($K200="Gewonnen",$K200="Verloren",$K200="Kein Interesse"),"abgeschlossen",IF(OR($K200="Neu",$K200="Recherchiert",$K200=""),"Erstkontakt vorbereiten",IF($K200="Kontaktiert",IF($L200="","Datum eintragen",IF(TODAY()&gt;=$O200,"Follow-up 3 fällig",IF(TODAY()&gt;=$N200,"Follow-up 2 fällig",IF(TODAY()&gt;=$M200,"Follow-up 1 fällig","warten")))),IF($K200="Antwort","Antworten",IF($K200="Gespräch","Nachbereiten",IF($K200="Angebot","Angebot nachfassen","")))))))</f>
        <v/>
      </c>
      <c r="Q200" s="17"/>
      <c r="R200" s="13"/>
    </row>
    <row r="201" customFormat="false" ht="15" hidden="false" customHeight="true" outlineLevel="0" collapsed="false">
      <c r="A201" s="12"/>
      <c r="B201" s="12"/>
      <c r="C201" s="12"/>
      <c r="D201" s="12"/>
      <c r="E201" s="12"/>
      <c r="F201" s="12"/>
      <c r="G201" s="12"/>
      <c r="H201" s="12"/>
      <c r="I201" s="12"/>
      <c r="J201" s="13"/>
      <c r="K201" s="12"/>
      <c r="L201" s="14"/>
      <c r="M201" s="15" t="str">
        <f aca="false">IF($L201="","",$L201+Einstellungen!$B$3)</f>
        <v/>
      </c>
      <c r="N201" s="15" t="str">
        <f aca="false">IF($L201="","",$L201+Einstellungen!$B$4)</f>
        <v/>
      </c>
      <c r="O201" s="15" t="str">
        <f aca="false">IF($L201="","",$L201+Einstellungen!$B$5)</f>
        <v/>
      </c>
      <c r="P201" s="16" t="str">
        <f aca="true">IF($B201="","",IF(OR($K201="Gewonnen",$K201="Verloren",$K201="Kein Interesse"),"abgeschlossen",IF(OR($K201="Neu",$K201="Recherchiert",$K201=""),"Erstkontakt vorbereiten",IF($K201="Kontaktiert",IF($L201="","Datum eintragen",IF(TODAY()&gt;=$O201,"Follow-up 3 fällig",IF(TODAY()&gt;=$N201,"Follow-up 2 fällig",IF(TODAY()&gt;=$M201,"Follow-up 1 fällig","warten")))),IF($K201="Antwort","Antworten",IF($K201="Gespräch","Nachbereiten",IF($K201="Angebot","Angebot nachfassen","")))))))</f>
        <v/>
      </c>
      <c r="Q201" s="17"/>
      <c r="R201" s="13"/>
    </row>
    <row r="202" customFormat="false" ht="15" hidden="false" customHeight="true" outlineLevel="0" collapsed="false">
      <c r="A202" s="12"/>
      <c r="B202" s="12"/>
      <c r="C202" s="12"/>
      <c r="D202" s="12"/>
      <c r="E202" s="12"/>
      <c r="F202" s="12"/>
      <c r="G202" s="12"/>
      <c r="H202" s="12"/>
      <c r="I202" s="12"/>
      <c r="J202" s="13"/>
      <c r="K202" s="12"/>
      <c r="L202" s="14"/>
      <c r="M202" s="15" t="str">
        <f aca="false">IF($L202="","",$L202+Einstellungen!$B$3)</f>
        <v/>
      </c>
      <c r="N202" s="15" t="str">
        <f aca="false">IF($L202="","",$L202+Einstellungen!$B$4)</f>
        <v/>
      </c>
      <c r="O202" s="15" t="str">
        <f aca="false">IF($L202="","",$L202+Einstellungen!$B$5)</f>
        <v/>
      </c>
      <c r="P202" s="16" t="str">
        <f aca="true">IF($B202="","",IF(OR($K202="Gewonnen",$K202="Verloren",$K202="Kein Interesse"),"abgeschlossen",IF(OR($K202="Neu",$K202="Recherchiert",$K202=""),"Erstkontakt vorbereiten",IF($K202="Kontaktiert",IF($L202="","Datum eintragen",IF(TODAY()&gt;=$O202,"Follow-up 3 fällig",IF(TODAY()&gt;=$N202,"Follow-up 2 fällig",IF(TODAY()&gt;=$M202,"Follow-up 1 fällig","warten")))),IF($K202="Antwort","Antworten",IF($K202="Gespräch","Nachbereiten",IF($K202="Angebot","Angebot nachfassen","")))))))</f>
        <v/>
      </c>
      <c r="Q202" s="17"/>
      <c r="R202" s="13"/>
    </row>
    <row r="203" customFormat="false" ht="15" hidden="false" customHeight="true" outlineLevel="0" collapsed="false">
      <c r="A203" s="12"/>
      <c r="B203" s="12"/>
      <c r="C203" s="12"/>
      <c r="D203" s="12"/>
      <c r="E203" s="12"/>
      <c r="F203" s="12"/>
      <c r="G203" s="12"/>
      <c r="H203" s="12"/>
      <c r="I203" s="12"/>
      <c r="J203" s="13"/>
      <c r="K203" s="12"/>
      <c r="L203" s="14"/>
      <c r="M203" s="15" t="str">
        <f aca="false">IF($L203="","",$L203+Einstellungen!$B$3)</f>
        <v/>
      </c>
      <c r="N203" s="15" t="str">
        <f aca="false">IF($L203="","",$L203+Einstellungen!$B$4)</f>
        <v/>
      </c>
      <c r="O203" s="15" t="str">
        <f aca="false">IF($L203="","",$L203+Einstellungen!$B$5)</f>
        <v/>
      </c>
      <c r="P203" s="16" t="str">
        <f aca="true">IF($B203="","",IF(OR($K203="Gewonnen",$K203="Verloren",$K203="Kein Interesse"),"abgeschlossen",IF(OR($K203="Neu",$K203="Recherchiert",$K203=""),"Erstkontakt vorbereiten",IF($K203="Kontaktiert",IF($L203="","Datum eintragen",IF(TODAY()&gt;=$O203,"Follow-up 3 fällig",IF(TODAY()&gt;=$N203,"Follow-up 2 fällig",IF(TODAY()&gt;=$M203,"Follow-up 1 fällig","warten")))),IF($K203="Antwort","Antworten",IF($K203="Gespräch","Nachbereiten",IF($K203="Angebot","Angebot nachfassen","")))))))</f>
        <v/>
      </c>
      <c r="Q203" s="17"/>
      <c r="R203" s="13"/>
    </row>
    <row r="204" customFormat="false" ht="15" hidden="false" customHeight="true" outlineLevel="0" collapsed="false">
      <c r="A204" s="12"/>
      <c r="B204" s="12"/>
      <c r="C204" s="12"/>
      <c r="D204" s="12"/>
      <c r="E204" s="12"/>
      <c r="F204" s="12"/>
      <c r="G204" s="12"/>
      <c r="H204" s="12"/>
      <c r="I204" s="12"/>
      <c r="J204" s="13"/>
      <c r="K204" s="12"/>
      <c r="L204" s="14"/>
      <c r="M204" s="15" t="str">
        <f aca="false">IF($L204="","",$L204+Einstellungen!$B$3)</f>
        <v/>
      </c>
      <c r="N204" s="15" t="str">
        <f aca="false">IF($L204="","",$L204+Einstellungen!$B$4)</f>
        <v/>
      </c>
      <c r="O204" s="15" t="str">
        <f aca="false">IF($L204="","",$L204+Einstellungen!$B$5)</f>
        <v/>
      </c>
      <c r="P204" s="16" t="str">
        <f aca="true">IF($B204="","",IF(OR($K204="Gewonnen",$K204="Verloren",$K204="Kein Interesse"),"abgeschlossen",IF(OR($K204="Neu",$K204="Recherchiert",$K204=""),"Erstkontakt vorbereiten",IF($K204="Kontaktiert",IF($L204="","Datum eintragen",IF(TODAY()&gt;=$O204,"Follow-up 3 fällig",IF(TODAY()&gt;=$N204,"Follow-up 2 fällig",IF(TODAY()&gt;=$M204,"Follow-up 1 fällig","warten")))),IF($K204="Antwort","Antworten",IF($K204="Gespräch","Nachbereiten",IF($K204="Angebot","Angebot nachfassen","")))))))</f>
        <v/>
      </c>
      <c r="Q204" s="17"/>
      <c r="R204" s="13"/>
    </row>
    <row r="205" customFormat="false" ht="15" hidden="false" customHeight="true" outlineLevel="0" collapsed="false">
      <c r="A205" s="12"/>
      <c r="B205" s="12"/>
      <c r="C205" s="12"/>
      <c r="D205" s="12"/>
      <c r="E205" s="12"/>
      <c r="F205" s="12"/>
      <c r="G205" s="12"/>
      <c r="H205" s="12"/>
      <c r="I205" s="12"/>
      <c r="J205" s="13"/>
      <c r="K205" s="12"/>
      <c r="L205" s="14"/>
      <c r="M205" s="15" t="str">
        <f aca="false">IF($L205="","",$L205+Einstellungen!$B$3)</f>
        <v/>
      </c>
      <c r="N205" s="15" t="str">
        <f aca="false">IF($L205="","",$L205+Einstellungen!$B$4)</f>
        <v/>
      </c>
      <c r="O205" s="15" t="str">
        <f aca="false">IF($L205="","",$L205+Einstellungen!$B$5)</f>
        <v/>
      </c>
      <c r="P205" s="16" t="str">
        <f aca="true">IF($B205="","",IF(OR($K205="Gewonnen",$K205="Verloren",$K205="Kein Interesse"),"abgeschlossen",IF(OR($K205="Neu",$K205="Recherchiert",$K205=""),"Erstkontakt vorbereiten",IF($K205="Kontaktiert",IF($L205="","Datum eintragen",IF(TODAY()&gt;=$O205,"Follow-up 3 fällig",IF(TODAY()&gt;=$N205,"Follow-up 2 fällig",IF(TODAY()&gt;=$M205,"Follow-up 1 fällig","warten")))),IF($K205="Antwort","Antworten",IF($K205="Gespräch","Nachbereiten",IF($K205="Angebot","Angebot nachfassen","")))))))</f>
        <v/>
      </c>
      <c r="Q205" s="17"/>
      <c r="R205" s="13"/>
    </row>
    <row r="206" customFormat="false" ht="15" hidden="false" customHeight="true" outlineLevel="0" collapsed="false">
      <c r="A206" s="12"/>
      <c r="B206" s="12"/>
      <c r="C206" s="12"/>
      <c r="D206" s="12"/>
      <c r="E206" s="12"/>
      <c r="F206" s="12"/>
      <c r="G206" s="12"/>
      <c r="H206" s="12"/>
      <c r="I206" s="12"/>
      <c r="J206" s="13"/>
      <c r="K206" s="12"/>
      <c r="L206" s="14"/>
      <c r="M206" s="15" t="str">
        <f aca="false">IF($L206="","",$L206+Einstellungen!$B$3)</f>
        <v/>
      </c>
      <c r="N206" s="15" t="str">
        <f aca="false">IF($L206="","",$L206+Einstellungen!$B$4)</f>
        <v/>
      </c>
      <c r="O206" s="15" t="str">
        <f aca="false">IF($L206="","",$L206+Einstellungen!$B$5)</f>
        <v/>
      </c>
      <c r="P206" s="16" t="str">
        <f aca="true">IF($B206="","",IF(OR($K206="Gewonnen",$K206="Verloren",$K206="Kein Interesse"),"abgeschlossen",IF(OR($K206="Neu",$K206="Recherchiert",$K206=""),"Erstkontakt vorbereiten",IF($K206="Kontaktiert",IF($L206="","Datum eintragen",IF(TODAY()&gt;=$O206,"Follow-up 3 fällig",IF(TODAY()&gt;=$N206,"Follow-up 2 fällig",IF(TODAY()&gt;=$M206,"Follow-up 1 fällig","warten")))),IF($K206="Antwort","Antworten",IF($K206="Gespräch","Nachbereiten",IF($K206="Angebot","Angebot nachfassen","")))))))</f>
        <v/>
      </c>
      <c r="Q206" s="17"/>
      <c r="R206" s="13"/>
    </row>
    <row r="207" customFormat="false" ht="15" hidden="false" customHeight="tru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3"/>
      <c r="K207" s="12"/>
      <c r="L207" s="14"/>
      <c r="M207" s="15" t="str">
        <f aca="false">IF($L207="","",$L207+Einstellungen!$B$3)</f>
        <v/>
      </c>
      <c r="N207" s="15" t="str">
        <f aca="false">IF($L207="","",$L207+Einstellungen!$B$4)</f>
        <v/>
      </c>
      <c r="O207" s="15" t="str">
        <f aca="false">IF($L207="","",$L207+Einstellungen!$B$5)</f>
        <v/>
      </c>
      <c r="P207" s="16" t="str">
        <f aca="true">IF($B207="","",IF(OR($K207="Gewonnen",$K207="Verloren",$K207="Kein Interesse"),"abgeschlossen",IF(OR($K207="Neu",$K207="Recherchiert",$K207=""),"Erstkontakt vorbereiten",IF($K207="Kontaktiert",IF($L207="","Datum eintragen",IF(TODAY()&gt;=$O207,"Follow-up 3 fällig",IF(TODAY()&gt;=$N207,"Follow-up 2 fällig",IF(TODAY()&gt;=$M207,"Follow-up 1 fällig","warten")))),IF($K207="Antwort","Antworten",IF($K207="Gespräch","Nachbereiten",IF($K207="Angebot","Angebot nachfassen","")))))))</f>
        <v/>
      </c>
      <c r="Q207" s="17"/>
      <c r="R207" s="13"/>
    </row>
    <row r="208" customFormat="false" ht="15" hidden="false" customHeight="true" outlineLevel="0" collapsed="false">
      <c r="A208" s="12"/>
      <c r="B208" s="12"/>
      <c r="C208" s="12"/>
      <c r="D208" s="12"/>
      <c r="E208" s="12"/>
      <c r="F208" s="12"/>
      <c r="G208" s="12"/>
      <c r="H208" s="12"/>
      <c r="I208" s="12"/>
      <c r="J208" s="13"/>
      <c r="K208" s="12"/>
      <c r="L208" s="14"/>
      <c r="M208" s="15" t="str">
        <f aca="false">IF($L208="","",$L208+Einstellungen!$B$3)</f>
        <v/>
      </c>
      <c r="N208" s="15" t="str">
        <f aca="false">IF($L208="","",$L208+Einstellungen!$B$4)</f>
        <v/>
      </c>
      <c r="O208" s="15" t="str">
        <f aca="false">IF($L208="","",$L208+Einstellungen!$B$5)</f>
        <v/>
      </c>
      <c r="P208" s="16" t="str">
        <f aca="true">IF($B208="","",IF(OR($K208="Gewonnen",$K208="Verloren",$K208="Kein Interesse"),"abgeschlossen",IF(OR($K208="Neu",$K208="Recherchiert",$K208=""),"Erstkontakt vorbereiten",IF($K208="Kontaktiert",IF($L208="","Datum eintragen",IF(TODAY()&gt;=$O208,"Follow-up 3 fällig",IF(TODAY()&gt;=$N208,"Follow-up 2 fällig",IF(TODAY()&gt;=$M208,"Follow-up 1 fällig","warten")))),IF($K208="Antwort","Antworten",IF($K208="Gespräch","Nachbereiten",IF($K208="Angebot","Angebot nachfassen","")))))))</f>
        <v/>
      </c>
      <c r="Q208" s="17"/>
      <c r="R208" s="13"/>
    </row>
    <row r="209" customFormat="false" ht="15" hidden="false" customHeight="true" outlineLevel="0" collapsed="false">
      <c r="A209" s="12"/>
      <c r="B209" s="12"/>
      <c r="C209" s="12"/>
      <c r="D209" s="12"/>
      <c r="E209" s="12"/>
      <c r="F209" s="12"/>
      <c r="G209" s="12"/>
      <c r="H209" s="12"/>
      <c r="I209" s="12"/>
      <c r="J209" s="13"/>
      <c r="K209" s="12"/>
      <c r="L209" s="14"/>
      <c r="M209" s="15" t="str">
        <f aca="false">IF($L209="","",$L209+Einstellungen!$B$3)</f>
        <v/>
      </c>
      <c r="N209" s="15" t="str">
        <f aca="false">IF($L209="","",$L209+Einstellungen!$B$4)</f>
        <v/>
      </c>
      <c r="O209" s="15" t="str">
        <f aca="false">IF($L209="","",$L209+Einstellungen!$B$5)</f>
        <v/>
      </c>
      <c r="P209" s="16" t="str">
        <f aca="true">IF($B209="","",IF(OR($K209="Gewonnen",$K209="Verloren",$K209="Kein Interesse"),"abgeschlossen",IF(OR($K209="Neu",$K209="Recherchiert",$K209=""),"Erstkontakt vorbereiten",IF($K209="Kontaktiert",IF($L209="","Datum eintragen",IF(TODAY()&gt;=$O209,"Follow-up 3 fällig",IF(TODAY()&gt;=$N209,"Follow-up 2 fällig",IF(TODAY()&gt;=$M209,"Follow-up 1 fällig","warten")))),IF($K209="Antwort","Antworten",IF($K209="Gespräch","Nachbereiten",IF($K209="Angebot","Angebot nachfassen","")))))))</f>
        <v/>
      </c>
      <c r="Q209" s="17"/>
      <c r="R209" s="13"/>
    </row>
    <row r="210" customFormat="false" ht="15" hidden="false" customHeight="true" outlineLevel="0" collapsed="false">
      <c r="A210" s="12"/>
      <c r="B210" s="12"/>
      <c r="C210" s="12"/>
      <c r="D210" s="12"/>
      <c r="E210" s="12"/>
      <c r="F210" s="12"/>
      <c r="G210" s="12"/>
      <c r="H210" s="12"/>
      <c r="I210" s="12"/>
      <c r="J210" s="13"/>
      <c r="K210" s="12"/>
      <c r="L210" s="14"/>
      <c r="M210" s="15" t="str">
        <f aca="false">IF($L210="","",$L210+Einstellungen!$B$3)</f>
        <v/>
      </c>
      <c r="N210" s="15" t="str">
        <f aca="false">IF($L210="","",$L210+Einstellungen!$B$4)</f>
        <v/>
      </c>
      <c r="O210" s="15" t="str">
        <f aca="false">IF($L210="","",$L210+Einstellungen!$B$5)</f>
        <v/>
      </c>
      <c r="P210" s="16" t="str">
        <f aca="true">IF($B210="","",IF(OR($K210="Gewonnen",$K210="Verloren",$K210="Kein Interesse"),"abgeschlossen",IF(OR($K210="Neu",$K210="Recherchiert",$K210=""),"Erstkontakt vorbereiten",IF($K210="Kontaktiert",IF($L210="","Datum eintragen",IF(TODAY()&gt;=$O210,"Follow-up 3 fällig",IF(TODAY()&gt;=$N210,"Follow-up 2 fällig",IF(TODAY()&gt;=$M210,"Follow-up 1 fällig","warten")))),IF($K210="Antwort","Antworten",IF($K210="Gespräch","Nachbereiten",IF($K210="Angebot","Angebot nachfassen","")))))))</f>
        <v/>
      </c>
      <c r="Q210" s="17"/>
      <c r="R210" s="13"/>
    </row>
    <row r="211" customFormat="false" ht="15" hidden="false" customHeight="true" outlineLevel="0" collapsed="false">
      <c r="A211" s="12"/>
      <c r="B211" s="12"/>
      <c r="C211" s="12"/>
      <c r="D211" s="12"/>
      <c r="E211" s="12"/>
      <c r="F211" s="12"/>
      <c r="G211" s="12"/>
      <c r="H211" s="12"/>
      <c r="I211" s="12"/>
      <c r="J211" s="13"/>
      <c r="K211" s="12"/>
      <c r="L211" s="14"/>
      <c r="M211" s="15" t="str">
        <f aca="false">IF($L211="","",$L211+Einstellungen!$B$3)</f>
        <v/>
      </c>
      <c r="N211" s="15" t="str">
        <f aca="false">IF($L211="","",$L211+Einstellungen!$B$4)</f>
        <v/>
      </c>
      <c r="O211" s="15" t="str">
        <f aca="false">IF($L211="","",$L211+Einstellungen!$B$5)</f>
        <v/>
      </c>
      <c r="P211" s="16" t="str">
        <f aca="true">IF($B211="","",IF(OR($K211="Gewonnen",$K211="Verloren",$K211="Kein Interesse"),"abgeschlossen",IF(OR($K211="Neu",$K211="Recherchiert",$K211=""),"Erstkontakt vorbereiten",IF($K211="Kontaktiert",IF($L211="","Datum eintragen",IF(TODAY()&gt;=$O211,"Follow-up 3 fällig",IF(TODAY()&gt;=$N211,"Follow-up 2 fällig",IF(TODAY()&gt;=$M211,"Follow-up 1 fällig","warten")))),IF($K211="Antwort","Antworten",IF($K211="Gespräch","Nachbereiten",IF($K211="Angebot","Angebot nachfassen","")))))))</f>
        <v/>
      </c>
      <c r="Q211" s="17"/>
      <c r="R211" s="13"/>
    </row>
    <row r="212" customFormat="false" ht="15" hidden="false" customHeight="true" outlineLevel="0" collapsed="false">
      <c r="A212" s="12"/>
      <c r="B212" s="12"/>
      <c r="C212" s="12"/>
      <c r="D212" s="12"/>
      <c r="E212" s="12"/>
      <c r="F212" s="12"/>
      <c r="G212" s="12"/>
      <c r="H212" s="12"/>
      <c r="I212" s="12"/>
      <c r="J212" s="13"/>
      <c r="K212" s="12"/>
      <c r="L212" s="14"/>
      <c r="M212" s="15" t="str">
        <f aca="false">IF($L212="","",$L212+Einstellungen!$B$3)</f>
        <v/>
      </c>
      <c r="N212" s="15" t="str">
        <f aca="false">IF($L212="","",$L212+Einstellungen!$B$4)</f>
        <v/>
      </c>
      <c r="O212" s="15" t="str">
        <f aca="false">IF($L212="","",$L212+Einstellungen!$B$5)</f>
        <v/>
      </c>
      <c r="P212" s="16" t="str">
        <f aca="true">IF($B212="","",IF(OR($K212="Gewonnen",$K212="Verloren",$K212="Kein Interesse"),"abgeschlossen",IF(OR($K212="Neu",$K212="Recherchiert",$K212=""),"Erstkontakt vorbereiten",IF($K212="Kontaktiert",IF($L212="","Datum eintragen",IF(TODAY()&gt;=$O212,"Follow-up 3 fällig",IF(TODAY()&gt;=$N212,"Follow-up 2 fällig",IF(TODAY()&gt;=$M212,"Follow-up 1 fällig","warten")))),IF($K212="Antwort","Antworten",IF($K212="Gespräch","Nachbereiten",IF($K212="Angebot","Angebot nachfassen","")))))))</f>
        <v/>
      </c>
      <c r="Q212" s="17"/>
      <c r="R212" s="13"/>
    </row>
    <row r="213" customFormat="false" ht="15" hidden="false" customHeight="true" outlineLevel="0" collapsed="false">
      <c r="A213" s="12"/>
      <c r="B213" s="12"/>
      <c r="C213" s="12"/>
      <c r="D213" s="12"/>
      <c r="E213" s="12"/>
      <c r="F213" s="12"/>
      <c r="G213" s="12"/>
      <c r="H213" s="12"/>
      <c r="I213" s="12"/>
      <c r="J213" s="13"/>
      <c r="K213" s="12"/>
      <c r="L213" s="14"/>
      <c r="M213" s="15" t="str">
        <f aca="false">IF($L213="","",$L213+Einstellungen!$B$3)</f>
        <v/>
      </c>
      <c r="N213" s="15" t="str">
        <f aca="false">IF($L213="","",$L213+Einstellungen!$B$4)</f>
        <v/>
      </c>
      <c r="O213" s="15" t="str">
        <f aca="false">IF($L213="","",$L213+Einstellungen!$B$5)</f>
        <v/>
      </c>
      <c r="P213" s="16" t="str">
        <f aca="true">IF($B213="","",IF(OR($K213="Gewonnen",$K213="Verloren",$K213="Kein Interesse"),"abgeschlossen",IF(OR($K213="Neu",$K213="Recherchiert",$K213=""),"Erstkontakt vorbereiten",IF($K213="Kontaktiert",IF($L213="","Datum eintragen",IF(TODAY()&gt;=$O213,"Follow-up 3 fällig",IF(TODAY()&gt;=$N213,"Follow-up 2 fällig",IF(TODAY()&gt;=$M213,"Follow-up 1 fällig","warten")))),IF($K213="Antwort","Antworten",IF($K213="Gespräch","Nachbereiten",IF($K213="Angebot","Angebot nachfassen","")))))))</f>
        <v/>
      </c>
      <c r="Q213" s="17"/>
      <c r="R213" s="13"/>
    </row>
    <row r="214" customFormat="false" ht="15" hidden="false" customHeight="true" outlineLevel="0" collapsed="false">
      <c r="A214" s="12"/>
      <c r="B214" s="12"/>
      <c r="C214" s="12"/>
      <c r="D214" s="12"/>
      <c r="E214" s="12"/>
      <c r="F214" s="12"/>
      <c r="G214" s="12"/>
      <c r="H214" s="12"/>
      <c r="I214" s="12"/>
      <c r="J214" s="13"/>
      <c r="K214" s="12"/>
      <c r="L214" s="14"/>
      <c r="M214" s="15" t="str">
        <f aca="false">IF($L214="","",$L214+Einstellungen!$B$3)</f>
        <v/>
      </c>
      <c r="N214" s="15" t="str">
        <f aca="false">IF($L214="","",$L214+Einstellungen!$B$4)</f>
        <v/>
      </c>
      <c r="O214" s="15" t="str">
        <f aca="false">IF($L214="","",$L214+Einstellungen!$B$5)</f>
        <v/>
      </c>
      <c r="P214" s="16" t="str">
        <f aca="true">IF($B214="","",IF(OR($K214="Gewonnen",$K214="Verloren",$K214="Kein Interesse"),"abgeschlossen",IF(OR($K214="Neu",$K214="Recherchiert",$K214=""),"Erstkontakt vorbereiten",IF($K214="Kontaktiert",IF($L214="","Datum eintragen",IF(TODAY()&gt;=$O214,"Follow-up 3 fällig",IF(TODAY()&gt;=$N214,"Follow-up 2 fällig",IF(TODAY()&gt;=$M214,"Follow-up 1 fällig","warten")))),IF($K214="Antwort","Antworten",IF($K214="Gespräch","Nachbereiten",IF($K214="Angebot","Angebot nachfassen","")))))))</f>
        <v/>
      </c>
      <c r="Q214" s="17"/>
      <c r="R214" s="13"/>
    </row>
    <row r="215" customFormat="false" ht="15" hidden="false" customHeight="true" outlineLevel="0" collapsed="false">
      <c r="A215" s="12"/>
      <c r="B215" s="12"/>
      <c r="C215" s="12"/>
      <c r="D215" s="12"/>
      <c r="E215" s="12"/>
      <c r="F215" s="12"/>
      <c r="G215" s="12"/>
      <c r="H215" s="12"/>
      <c r="I215" s="12"/>
      <c r="J215" s="13"/>
      <c r="K215" s="12"/>
      <c r="L215" s="14"/>
      <c r="M215" s="15" t="str">
        <f aca="false">IF($L215="","",$L215+Einstellungen!$B$3)</f>
        <v/>
      </c>
      <c r="N215" s="15" t="str">
        <f aca="false">IF($L215="","",$L215+Einstellungen!$B$4)</f>
        <v/>
      </c>
      <c r="O215" s="15" t="str">
        <f aca="false">IF($L215="","",$L215+Einstellungen!$B$5)</f>
        <v/>
      </c>
      <c r="P215" s="16" t="str">
        <f aca="true">IF($B215="","",IF(OR($K215="Gewonnen",$K215="Verloren",$K215="Kein Interesse"),"abgeschlossen",IF(OR($K215="Neu",$K215="Recherchiert",$K215=""),"Erstkontakt vorbereiten",IF($K215="Kontaktiert",IF($L215="","Datum eintragen",IF(TODAY()&gt;=$O215,"Follow-up 3 fällig",IF(TODAY()&gt;=$N215,"Follow-up 2 fällig",IF(TODAY()&gt;=$M215,"Follow-up 1 fällig","warten")))),IF($K215="Antwort","Antworten",IF($K215="Gespräch","Nachbereiten",IF($K215="Angebot","Angebot nachfassen","")))))))</f>
        <v/>
      </c>
      <c r="Q215" s="17"/>
      <c r="R215" s="13"/>
    </row>
    <row r="216" customFormat="false" ht="15" hidden="false" customHeight="tru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3"/>
      <c r="K216" s="12"/>
      <c r="L216" s="14"/>
      <c r="M216" s="15" t="str">
        <f aca="false">IF($L216="","",$L216+Einstellungen!$B$3)</f>
        <v/>
      </c>
      <c r="N216" s="15" t="str">
        <f aca="false">IF($L216="","",$L216+Einstellungen!$B$4)</f>
        <v/>
      </c>
      <c r="O216" s="15" t="str">
        <f aca="false">IF($L216="","",$L216+Einstellungen!$B$5)</f>
        <v/>
      </c>
      <c r="P216" s="16" t="str">
        <f aca="true">IF($B216="","",IF(OR($K216="Gewonnen",$K216="Verloren",$K216="Kein Interesse"),"abgeschlossen",IF(OR($K216="Neu",$K216="Recherchiert",$K216=""),"Erstkontakt vorbereiten",IF($K216="Kontaktiert",IF($L216="","Datum eintragen",IF(TODAY()&gt;=$O216,"Follow-up 3 fällig",IF(TODAY()&gt;=$N216,"Follow-up 2 fällig",IF(TODAY()&gt;=$M216,"Follow-up 1 fällig","warten")))),IF($K216="Antwort","Antworten",IF($K216="Gespräch","Nachbereiten",IF($K216="Angebot","Angebot nachfassen","")))))))</f>
        <v/>
      </c>
      <c r="Q216" s="17"/>
      <c r="R216" s="13"/>
    </row>
    <row r="217" customFormat="false" ht="15" hidden="false" customHeight="true" outlineLevel="0" collapsed="false">
      <c r="A217" s="12"/>
      <c r="B217" s="12"/>
      <c r="C217" s="12"/>
      <c r="D217" s="12"/>
      <c r="E217" s="12"/>
      <c r="F217" s="12"/>
      <c r="G217" s="12"/>
      <c r="H217" s="12"/>
      <c r="I217" s="12"/>
      <c r="J217" s="13"/>
      <c r="K217" s="12"/>
      <c r="L217" s="14"/>
      <c r="M217" s="15" t="str">
        <f aca="false">IF($L217="","",$L217+Einstellungen!$B$3)</f>
        <v/>
      </c>
      <c r="N217" s="15" t="str">
        <f aca="false">IF($L217="","",$L217+Einstellungen!$B$4)</f>
        <v/>
      </c>
      <c r="O217" s="15" t="str">
        <f aca="false">IF($L217="","",$L217+Einstellungen!$B$5)</f>
        <v/>
      </c>
      <c r="P217" s="16" t="str">
        <f aca="true">IF($B217="","",IF(OR($K217="Gewonnen",$K217="Verloren",$K217="Kein Interesse"),"abgeschlossen",IF(OR($K217="Neu",$K217="Recherchiert",$K217=""),"Erstkontakt vorbereiten",IF($K217="Kontaktiert",IF($L217="","Datum eintragen",IF(TODAY()&gt;=$O217,"Follow-up 3 fällig",IF(TODAY()&gt;=$N217,"Follow-up 2 fällig",IF(TODAY()&gt;=$M217,"Follow-up 1 fällig","warten")))),IF($K217="Antwort","Antworten",IF($K217="Gespräch","Nachbereiten",IF($K217="Angebot","Angebot nachfassen","")))))))</f>
        <v/>
      </c>
      <c r="Q217" s="17"/>
      <c r="R217" s="13"/>
    </row>
    <row r="218" customFormat="false" ht="15" hidden="false" customHeight="true" outlineLevel="0" collapsed="false">
      <c r="A218" s="12"/>
      <c r="B218" s="12"/>
      <c r="C218" s="12"/>
      <c r="D218" s="12"/>
      <c r="E218" s="12"/>
      <c r="F218" s="12"/>
      <c r="G218" s="12"/>
      <c r="H218" s="12"/>
      <c r="I218" s="12"/>
      <c r="J218" s="13"/>
      <c r="K218" s="12"/>
      <c r="L218" s="14"/>
      <c r="M218" s="15" t="str">
        <f aca="false">IF($L218="","",$L218+Einstellungen!$B$3)</f>
        <v/>
      </c>
      <c r="N218" s="15" t="str">
        <f aca="false">IF($L218="","",$L218+Einstellungen!$B$4)</f>
        <v/>
      </c>
      <c r="O218" s="15" t="str">
        <f aca="false">IF($L218="","",$L218+Einstellungen!$B$5)</f>
        <v/>
      </c>
      <c r="P218" s="16" t="str">
        <f aca="true">IF($B218="","",IF(OR($K218="Gewonnen",$K218="Verloren",$K218="Kein Interesse"),"abgeschlossen",IF(OR($K218="Neu",$K218="Recherchiert",$K218=""),"Erstkontakt vorbereiten",IF($K218="Kontaktiert",IF($L218="","Datum eintragen",IF(TODAY()&gt;=$O218,"Follow-up 3 fällig",IF(TODAY()&gt;=$N218,"Follow-up 2 fällig",IF(TODAY()&gt;=$M218,"Follow-up 1 fällig","warten")))),IF($K218="Antwort","Antworten",IF($K218="Gespräch","Nachbereiten",IF($K218="Angebot","Angebot nachfassen","")))))))</f>
        <v/>
      </c>
      <c r="Q218" s="17"/>
      <c r="R218" s="13"/>
    </row>
    <row r="219" customFormat="false" ht="15" hidden="false" customHeight="true" outlineLevel="0" collapsed="false">
      <c r="A219" s="12"/>
      <c r="B219" s="12"/>
      <c r="C219" s="12"/>
      <c r="D219" s="12"/>
      <c r="E219" s="12"/>
      <c r="F219" s="12"/>
      <c r="G219" s="12"/>
      <c r="H219" s="12"/>
      <c r="I219" s="12"/>
      <c r="J219" s="13"/>
      <c r="K219" s="12"/>
      <c r="L219" s="14"/>
      <c r="M219" s="15" t="str">
        <f aca="false">IF($L219="","",$L219+Einstellungen!$B$3)</f>
        <v/>
      </c>
      <c r="N219" s="15" t="str">
        <f aca="false">IF($L219="","",$L219+Einstellungen!$B$4)</f>
        <v/>
      </c>
      <c r="O219" s="15" t="str">
        <f aca="false">IF($L219="","",$L219+Einstellungen!$B$5)</f>
        <v/>
      </c>
      <c r="P219" s="16" t="str">
        <f aca="true">IF($B219="","",IF(OR($K219="Gewonnen",$K219="Verloren",$K219="Kein Interesse"),"abgeschlossen",IF(OR($K219="Neu",$K219="Recherchiert",$K219=""),"Erstkontakt vorbereiten",IF($K219="Kontaktiert",IF($L219="","Datum eintragen",IF(TODAY()&gt;=$O219,"Follow-up 3 fällig",IF(TODAY()&gt;=$N219,"Follow-up 2 fällig",IF(TODAY()&gt;=$M219,"Follow-up 1 fällig","warten")))),IF($K219="Antwort","Antworten",IF($K219="Gespräch","Nachbereiten",IF($K219="Angebot","Angebot nachfassen","")))))))</f>
        <v/>
      </c>
      <c r="Q219" s="17"/>
      <c r="R219" s="13"/>
    </row>
    <row r="220" customFormat="false" ht="15" hidden="false" customHeight="true" outlineLevel="0" collapsed="false">
      <c r="A220" s="12"/>
      <c r="B220" s="12"/>
      <c r="C220" s="12"/>
      <c r="D220" s="12"/>
      <c r="E220" s="12"/>
      <c r="F220" s="12"/>
      <c r="G220" s="12"/>
      <c r="H220" s="12"/>
      <c r="I220" s="12"/>
      <c r="J220" s="13"/>
      <c r="K220" s="12"/>
      <c r="L220" s="14"/>
      <c r="M220" s="15" t="str">
        <f aca="false">IF($L220="","",$L220+Einstellungen!$B$3)</f>
        <v/>
      </c>
      <c r="N220" s="15" t="str">
        <f aca="false">IF($L220="","",$L220+Einstellungen!$B$4)</f>
        <v/>
      </c>
      <c r="O220" s="15" t="str">
        <f aca="false">IF($L220="","",$L220+Einstellungen!$B$5)</f>
        <v/>
      </c>
      <c r="P220" s="16" t="str">
        <f aca="true">IF($B220="","",IF(OR($K220="Gewonnen",$K220="Verloren",$K220="Kein Interesse"),"abgeschlossen",IF(OR($K220="Neu",$K220="Recherchiert",$K220=""),"Erstkontakt vorbereiten",IF($K220="Kontaktiert",IF($L220="","Datum eintragen",IF(TODAY()&gt;=$O220,"Follow-up 3 fällig",IF(TODAY()&gt;=$N220,"Follow-up 2 fällig",IF(TODAY()&gt;=$M220,"Follow-up 1 fällig","warten")))),IF($K220="Antwort","Antworten",IF($K220="Gespräch","Nachbereiten",IF($K220="Angebot","Angebot nachfassen","")))))))</f>
        <v/>
      </c>
      <c r="Q220" s="17"/>
      <c r="R220" s="13"/>
    </row>
    <row r="221" customFormat="false" ht="15" hidden="false" customHeight="tru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3"/>
      <c r="K221" s="12"/>
      <c r="L221" s="14"/>
      <c r="M221" s="15" t="str">
        <f aca="false">IF($L221="","",$L221+Einstellungen!$B$3)</f>
        <v/>
      </c>
      <c r="N221" s="15" t="str">
        <f aca="false">IF($L221="","",$L221+Einstellungen!$B$4)</f>
        <v/>
      </c>
      <c r="O221" s="15" t="str">
        <f aca="false">IF($L221="","",$L221+Einstellungen!$B$5)</f>
        <v/>
      </c>
      <c r="P221" s="16" t="str">
        <f aca="true">IF($B221="","",IF(OR($K221="Gewonnen",$K221="Verloren",$K221="Kein Interesse"),"abgeschlossen",IF(OR($K221="Neu",$K221="Recherchiert",$K221=""),"Erstkontakt vorbereiten",IF($K221="Kontaktiert",IF($L221="","Datum eintragen",IF(TODAY()&gt;=$O221,"Follow-up 3 fällig",IF(TODAY()&gt;=$N221,"Follow-up 2 fällig",IF(TODAY()&gt;=$M221,"Follow-up 1 fällig","warten")))),IF($K221="Antwort","Antworten",IF($K221="Gespräch","Nachbereiten",IF($K221="Angebot","Angebot nachfassen","")))))))</f>
        <v/>
      </c>
      <c r="Q221" s="17"/>
      <c r="R221" s="13"/>
    </row>
    <row r="222" customFormat="false" ht="15" hidden="false" customHeight="true" outlineLevel="0" collapsed="false">
      <c r="A222" s="12"/>
      <c r="B222" s="12"/>
      <c r="C222" s="12"/>
      <c r="D222" s="12"/>
      <c r="E222" s="12"/>
      <c r="F222" s="12"/>
      <c r="G222" s="12"/>
      <c r="H222" s="12"/>
      <c r="I222" s="12"/>
      <c r="J222" s="13"/>
      <c r="K222" s="12"/>
      <c r="L222" s="14"/>
      <c r="M222" s="15" t="str">
        <f aca="false">IF($L222="","",$L222+Einstellungen!$B$3)</f>
        <v/>
      </c>
      <c r="N222" s="15" t="str">
        <f aca="false">IF($L222="","",$L222+Einstellungen!$B$4)</f>
        <v/>
      </c>
      <c r="O222" s="15" t="str">
        <f aca="false">IF($L222="","",$L222+Einstellungen!$B$5)</f>
        <v/>
      </c>
      <c r="P222" s="16" t="str">
        <f aca="true">IF($B222="","",IF(OR($K222="Gewonnen",$K222="Verloren",$K222="Kein Interesse"),"abgeschlossen",IF(OR($K222="Neu",$K222="Recherchiert",$K222=""),"Erstkontakt vorbereiten",IF($K222="Kontaktiert",IF($L222="","Datum eintragen",IF(TODAY()&gt;=$O222,"Follow-up 3 fällig",IF(TODAY()&gt;=$N222,"Follow-up 2 fällig",IF(TODAY()&gt;=$M222,"Follow-up 1 fällig","warten")))),IF($K222="Antwort","Antworten",IF($K222="Gespräch","Nachbereiten",IF($K222="Angebot","Angebot nachfassen","")))))))</f>
        <v/>
      </c>
      <c r="Q222" s="17"/>
      <c r="R222" s="13"/>
    </row>
    <row r="223" customFormat="false" ht="15" hidden="false" customHeight="true" outlineLevel="0" collapsed="false">
      <c r="A223" s="12"/>
      <c r="B223" s="12"/>
      <c r="C223" s="12"/>
      <c r="D223" s="12"/>
      <c r="E223" s="12"/>
      <c r="F223" s="12"/>
      <c r="G223" s="12"/>
      <c r="H223" s="12"/>
      <c r="I223" s="12"/>
      <c r="J223" s="13"/>
      <c r="K223" s="12"/>
      <c r="L223" s="14"/>
      <c r="M223" s="15" t="str">
        <f aca="false">IF($L223="","",$L223+Einstellungen!$B$3)</f>
        <v/>
      </c>
      <c r="N223" s="15" t="str">
        <f aca="false">IF($L223="","",$L223+Einstellungen!$B$4)</f>
        <v/>
      </c>
      <c r="O223" s="15" t="str">
        <f aca="false">IF($L223="","",$L223+Einstellungen!$B$5)</f>
        <v/>
      </c>
      <c r="P223" s="16" t="str">
        <f aca="true">IF($B223="","",IF(OR($K223="Gewonnen",$K223="Verloren",$K223="Kein Interesse"),"abgeschlossen",IF(OR($K223="Neu",$K223="Recherchiert",$K223=""),"Erstkontakt vorbereiten",IF($K223="Kontaktiert",IF($L223="","Datum eintragen",IF(TODAY()&gt;=$O223,"Follow-up 3 fällig",IF(TODAY()&gt;=$N223,"Follow-up 2 fällig",IF(TODAY()&gt;=$M223,"Follow-up 1 fällig","warten")))),IF($K223="Antwort","Antworten",IF($K223="Gespräch","Nachbereiten",IF($K223="Angebot","Angebot nachfassen","")))))))</f>
        <v/>
      </c>
      <c r="Q223" s="17"/>
      <c r="R223" s="13"/>
    </row>
    <row r="224" customFormat="false" ht="15" hidden="false" customHeight="true" outlineLevel="0" collapsed="false">
      <c r="A224" s="12"/>
      <c r="B224" s="12"/>
      <c r="C224" s="12"/>
      <c r="D224" s="12"/>
      <c r="E224" s="12"/>
      <c r="F224" s="12"/>
      <c r="G224" s="12"/>
      <c r="H224" s="12"/>
      <c r="I224" s="12"/>
      <c r="J224" s="13"/>
      <c r="K224" s="12"/>
      <c r="L224" s="14"/>
      <c r="M224" s="15" t="str">
        <f aca="false">IF($L224="","",$L224+Einstellungen!$B$3)</f>
        <v/>
      </c>
      <c r="N224" s="15" t="str">
        <f aca="false">IF($L224="","",$L224+Einstellungen!$B$4)</f>
        <v/>
      </c>
      <c r="O224" s="15" t="str">
        <f aca="false">IF($L224="","",$L224+Einstellungen!$B$5)</f>
        <v/>
      </c>
      <c r="P224" s="16" t="str">
        <f aca="true">IF($B224="","",IF(OR($K224="Gewonnen",$K224="Verloren",$K224="Kein Interesse"),"abgeschlossen",IF(OR($K224="Neu",$K224="Recherchiert",$K224=""),"Erstkontakt vorbereiten",IF($K224="Kontaktiert",IF($L224="","Datum eintragen",IF(TODAY()&gt;=$O224,"Follow-up 3 fällig",IF(TODAY()&gt;=$N224,"Follow-up 2 fällig",IF(TODAY()&gt;=$M224,"Follow-up 1 fällig","warten")))),IF($K224="Antwort","Antworten",IF($K224="Gespräch","Nachbereiten",IF($K224="Angebot","Angebot nachfassen","")))))))</f>
        <v/>
      </c>
      <c r="Q224" s="17"/>
      <c r="R224" s="13"/>
    </row>
    <row r="225" customFormat="false" ht="15" hidden="false" customHeight="true" outlineLevel="0" collapsed="false">
      <c r="A225" s="12"/>
      <c r="B225" s="12"/>
      <c r="C225" s="12"/>
      <c r="D225" s="12"/>
      <c r="E225" s="12"/>
      <c r="F225" s="12"/>
      <c r="G225" s="12"/>
      <c r="H225" s="12"/>
      <c r="I225" s="12"/>
      <c r="J225" s="13"/>
      <c r="K225" s="12"/>
      <c r="L225" s="14"/>
      <c r="M225" s="15" t="str">
        <f aca="false">IF($L225="","",$L225+Einstellungen!$B$3)</f>
        <v/>
      </c>
      <c r="N225" s="15" t="str">
        <f aca="false">IF($L225="","",$L225+Einstellungen!$B$4)</f>
        <v/>
      </c>
      <c r="O225" s="15" t="str">
        <f aca="false">IF($L225="","",$L225+Einstellungen!$B$5)</f>
        <v/>
      </c>
      <c r="P225" s="16" t="str">
        <f aca="true">IF($B225="","",IF(OR($K225="Gewonnen",$K225="Verloren",$K225="Kein Interesse"),"abgeschlossen",IF(OR($K225="Neu",$K225="Recherchiert",$K225=""),"Erstkontakt vorbereiten",IF($K225="Kontaktiert",IF($L225="","Datum eintragen",IF(TODAY()&gt;=$O225,"Follow-up 3 fällig",IF(TODAY()&gt;=$N225,"Follow-up 2 fällig",IF(TODAY()&gt;=$M225,"Follow-up 1 fällig","warten")))),IF($K225="Antwort","Antworten",IF($K225="Gespräch","Nachbereiten",IF($K225="Angebot","Angebot nachfassen","")))))))</f>
        <v/>
      </c>
      <c r="Q225" s="17"/>
      <c r="R225" s="13"/>
    </row>
    <row r="226" customFormat="false" ht="15" hidden="false" customHeight="true" outlineLevel="0" collapsed="false">
      <c r="A226" s="12"/>
      <c r="B226" s="12"/>
      <c r="C226" s="12"/>
      <c r="D226" s="12"/>
      <c r="E226" s="12"/>
      <c r="F226" s="12"/>
      <c r="G226" s="12"/>
      <c r="H226" s="12"/>
      <c r="I226" s="12"/>
      <c r="J226" s="13"/>
      <c r="K226" s="12"/>
      <c r="L226" s="14"/>
      <c r="M226" s="15" t="str">
        <f aca="false">IF($L226="","",$L226+Einstellungen!$B$3)</f>
        <v/>
      </c>
      <c r="N226" s="15" t="str">
        <f aca="false">IF($L226="","",$L226+Einstellungen!$B$4)</f>
        <v/>
      </c>
      <c r="O226" s="15" t="str">
        <f aca="false">IF($L226="","",$L226+Einstellungen!$B$5)</f>
        <v/>
      </c>
      <c r="P226" s="16" t="str">
        <f aca="true">IF($B226="","",IF(OR($K226="Gewonnen",$K226="Verloren",$K226="Kein Interesse"),"abgeschlossen",IF(OR($K226="Neu",$K226="Recherchiert",$K226=""),"Erstkontakt vorbereiten",IF($K226="Kontaktiert",IF($L226="","Datum eintragen",IF(TODAY()&gt;=$O226,"Follow-up 3 fällig",IF(TODAY()&gt;=$N226,"Follow-up 2 fällig",IF(TODAY()&gt;=$M226,"Follow-up 1 fällig","warten")))),IF($K226="Antwort","Antworten",IF($K226="Gespräch","Nachbereiten",IF($K226="Angebot","Angebot nachfassen","")))))))</f>
        <v/>
      </c>
      <c r="Q226" s="17"/>
      <c r="R226" s="13"/>
    </row>
    <row r="227" customFormat="false" ht="15" hidden="false" customHeight="true" outlineLevel="0" collapsed="false">
      <c r="A227" s="12"/>
      <c r="B227" s="12"/>
      <c r="C227" s="12"/>
      <c r="D227" s="12"/>
      <c r="E227" s="12"/>
      <c r="F227" s="12"/>
      <c r="G227" s="12"/>
      <c r="H227" s="12"/>
      <c r="I227" s="12"/>
      <c r="J227" s="13"/>
      <c r="K227" s="12"/>
      <c r="L227" s="14"/>
      <c r="M227" s="15" t="str">
        <f aca="false">IF($L227="","",$L227+Einstellungen!$B$3)</f>
        <v/>
      </c>
      <c r="N227" s="15" t="str">
        <f aca="false">IF($L227="","",$L227+Einstellungen!$B$4)</f>
        <v/>
      </c>
      <c r="O227" s="15" t="str">
        <f aca="false">IF($L227="","",$L227+Einstellungen!$B$5)</f>
        <v/>
      </c>
      <c r="P227" s="16" t="str">
        <f aca="true">IF($B227="","",IF(OR($K227="Gewonnen",$K227="Verloren",$K227="Kein Interesse"),"abgeschlossen",IF(OR($K227="Neu",$K227="Recherchiert",$K227=""),"Erstkontakt vorbereiten",IF($K227="Kontaktiert",IF($L227="","Datum eintragen",IF(TODAY()&gt;=$O227,"Follow-up 3 fällig",IF(TODAY()&gt;=$N227,"Follow-up 2 fällig",IF(TODAY()&gt;=$M227,"Follow-up 1 fällig","warten")))),IF($K227="Antwort","Antworten",IF($K227="Gespräch","Nachbereiten",IF($K227="Angebot","Angebot nachfassen","")))))))</f>
        <v/>
      </c>
      <c r="Q227" s="17"/>
      <c r="R227" s="13"/>
    </row>
    <row r="228" customFormat="false" ht="15" hidden="false" customHeight="true" outlineLevel="0" collapsed="false">
      <c r="A228" s="12"/>
      <c r="B228" s="12"/>
      <c r="C228" s="12"/>
      <c r="D228" s="12"/>
      <c r="E228" s="12"/>
      <c r="F228" s="12"/>
      <c r="G228" s="12"/>
      <c r="H228" s="12"/>
      <c r="I228" s="12"/>
      <c r="J228" s="13"/>
      <c r="K228" s="12"/>
      <c r="L228" s="14"/>
      <c r="M228" s="15" t="str">
        <f aca="false">IF($L228="","",$L228+Einstellungen!$B$3)</f>
        <v/>
      </c>
      <c r="N228" s="15" t="str">
        <f aca="false">IF($L228="","",$L228+Einstellungen!$B$4)</f>
        <v/>
      </c>
      <c r="O228" s="15" t="str">
        <f aca="false">IF($L228="","",$L228+Einstellungen!$B$5)</f>
        <v/>
      </c>
      <c r="P228" s="16" t="str">
        <f aca="true">IF($B228="","",IF(OR($K228="Gewonnen",$K228="Verloren",$K228="Kein Interesse"),"abgeschlossen",IF(OR($K228="Neu",$K228="Recherchiert",$K228=""),"Erstkontakt vorbereiten",IF($K228="Kontaktiert",IF($L228="","Datum eintragen",IF(TODAY()&gt;=$O228,"Follow-up 3 fällig",IF(TODAY()&gt;=$N228,"Follow-up 2 fällig",IF(TODAY()&gt;=$M228,"Follow-up 1 fällig","warten")))),IF($K228="Antwort","Antworten",IF($K228="Gespräch","Nachbereiten",IF($K228="Angebot","Angebot nachfassen","")))))))</f>
        <v/>
      </c>
      <c r="Q228" s="17"/>
      <c r="R228" s="13"/>
    </row>
    <row r="229" customFormat="false" ht="15" hidden="false" customHeight="tru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3"/>
      <c r="K229" s="12"/>
      <c r="L229" s="14"/>
      <c r="M229" s="15" t="str">
        <f aca="false">IF($L229="","",$L229+Einstellungen!$B$3)</f>
        <v/>
      </c>
      <c r="N229" s="15" t="str">
        <f aca="false">IF($L229="","",$L229+Einstellungen!$B$4)</f>
        <v/>
      </c>
      <c r="O229" s="15" t="str">
        <f aca="false">IF($L229="","",$L229+Einstellungen!$B$5)</f>
        <v/>
      </c>
      <c r="P229" s="16" t="str">
        <f aca="true">IF($B229="","",IF(OR($K229="Gewonnen",$K229="Verloren",$K229="Kein Interesse"),"abgeschlossen",IF(OR($K229="Neu",$K229="Recherchiert",$K229=""),"Erstkontakt vorbereiten",IF($K229="Kontaktiert",IF($L229="","Datum eintragen",IF(TODAY()&gt;=$O229,"Follow-up 3 fällig",IF(TODAY()&gt;=$N229,"Follow-up 2 fällig",IF(TODAY()&gt;=$M229,"Follow-up 1 fällig","warten")))),IF($K229="Antwort","Antworten",IF($K229="Gespräch","Nachbereiten",IF($K229="Angebot","Angebot nachfassen","")))))))</f>
        <v/>
      </c>
      <c r="Q229" s="17"/>
      <c r="R229" s="13"/>
    </row>
    <row r="230" customFormat="false" ht="15" hidden="false" customHeight="true" outlineLevel="0" collapsed="false">
      <c r="A230" s="12"/>
      <c r="B230" s="12"/>
      <c r="C230" s="12"/>
      <c r="D230" s="12"/>
      <c r="E230" s="12"/>
      <c r="F230" s="12"/>
      <c r="G230" s="12"/>
      <c r="H230" s="12"/>
      <c r="I230" s="12"/>
      <c r="J230" s="13"/>
      <c r="K230" s="12"/>
      <c r="L230" s="14"/>
      <c r="M230" s="15" t="str">
        <f aca="false">IF($L230="","",$L230+Einstellungen!$B$3)</f>
        <v/>
      </c>
      <c r="N230" s="15" t="str">
        <f aca="false">IF($L230="","",$L230+Einstellungen!$B$4)</f>
        <v/>
      </c>
      <c r="O230" s="15" t="str">
        <f aca="false">IF($L230="","",$L230+Einstellungen!$B$5)</f>
        <v/>
      </c>
      <c r="P230" s="16" t="str">
        <f aca="true">IF($B230="","",IF(OR($K230="Gewonnen",$K230="Verloren",$K230="Kein Interesse"),"abgeschlossen",IF(OR($K230="Neu",$K230="Recherchiert",$K230=""),"Erstkontakt vorbereiten",IF($K230="Kontaktiert",IF($L230="","Datum eintragen",IF(TODAY()&gt;=$O230,"Follow-up 3 fällig",IF(TODAY()&gt;=$N230,"Follow-up 2 fällig",IF(TODAY()&gt;=$M230,"Follow-up 1 fällig","warten")))),IF($K230="Antwort","Antworten",IF($K230="Gespräch","Nachbereiten",IF($K230="Angebot","Angebot nachfassen","")))))))</f>
        <v/>
      </c>
      <c r="Q230" s="17"/>
      <c r="R230" s="13"/>
    </row>
    <row r="231" customFormat="false" ht="15" hidden="false" customHeight="true" outlineLevel="0" collapsed="false">
      <c r="A231" s="12"/>
      <c r="B231" s="12"/>
      <c r="C231" s="12"/>
      <c r="D231" s="12"/>
      <c r="E231" s="12"/>
      <c r="F231" s="12"/>
      <c r="G231" s="12"/>
      <c r="H231" s="12"/>
      <c r="I231" s="12"/>
      <c r="J231" s="13"/>
      <c r="K231" s="12"/>
      <c r="L231" s="14"/>
      <c r="M231" s="15" t="str">
        <f aca="false">IF($L231="","",$L231+Einstellungen!$B$3)</f>
        <v/>
      </c>
      <c r="N231" s="15" t="str">
        <f aca="false">IF($L231="","",$L231+Einstellungen!$B$4)</f>
        <v/>
      </c>
      <c r="O231" s="15" t="str">
        <f aca="false">IF($L231="","",$L231+Einstellungen!$B$5)</f>
        <v/>
      </c>
      <c r="P231" s="16" t="str">
        <f aca="true">IF($B231="","",IF(OR($K231="Gewonnen",$K231="Verloren",$K231="Kein Interesse"),"abgeschlossen",IF(OR($K231="Neu",$K231="Recherchiert",$K231=""),"Erstkontakt vorbereiten",IF($K231="Kontaktiert",IF($L231="","Datum eintragen",IF(TODAY()&gt;=$O231,"Follow-up 3 fällig",IF(TODAY()&gt;=$N231,"Follow-up 2 fällig",IF(TODAY()&gt;=$M231,"Follow-up 1 fällig","warten")))),IF($K231="Antwort","Antworten",IF($K231="Gespräch","Nachbereiten",IF($K231="Angebot","Angebot nachfassen","")))))))</f>
        <v/>
      </c>
      <c r="Q231" s="17"/>
      <c r="R231" s="13"/>
    </row>
    <row r="232" customFormat="false" ht="15" hidden="false" customHeight="true" outlineLevel="0" collapsed="false">
      <c r="A232" s="12"/>
      <c r="B232" s="12"/>
      <c r="C232" s="12"/>
      <c r="D232" s="12"/>
      <c r="E232" s="12"/>
      <c r="F232" s="12"/>
      <c r="G232" s="12"/>
      <c r="H232" s="12"/>
      <c r="I232" s="12"/>
      <c r="J232" s="13"/>
      <c r="K232" s="12"/>
      <c r="L232" s="14"/>
      <c r="M232" s="15" t="str">
        <f aca="false">IF($L232="","",$L232+Einstellungen!$B$3)</f>
        <v/>
      </c>
      <c r="N232" s="15" t="str">
        <f aca="false">IF($L232="","",$L232+Einstellungen!$B$4)</f>
        <v/>
      </c>
      <c r="O232" s="15" t="str">
        <f aca="false">IF($L232="","",$L232+Einstellungen!$B$5)</f>
        <v/>
      </c>
      <c r="P232" s="16" t="str">
        <f aca="true">IF($B232="","",IF(OR($K232="Gewonnen",$K232="Verloren",$K232="Kein Interesse"),"abgeschlossen",IF(OR($K232="Neu",$K232="Recherchiert",$K232=""),"Erstkontakt vorbereiten",IF($K232="Kontaktiert",IF($L232="","Datum eintragen",IF(TODAY()&gt;=$O232,"Follow-up 3 fällig",IF(TODAY()&gt;=$N232,"Follow-up 2 fällig",IF(TODAY()&gt;=$M232,"Follow-up 1 fällig","warten")))),IF($K232="Antwort","Antworten",IF($K232="Gespräch","Nachbereiten",IF($K232="Angebot","Angebot nachfassen","")))))))</f>
        <v/>
      </c>
      <c r="Q232" s="17"/>
      <c r="R232" s="13"/>
    </row>
    <row r="233" customFormat="false" ht="15" hidden="false" customHeight="true" outlineLevel="0" collapsed="false">
      <c r="A233" s="12"/>
      <c r="B233" s="12"/>
      <c r="C233" s="12"/>
      <c r="D233" s="12"/>
      <c r="E233" s="12"/>
      <c r="F233" s="12"/>
      <c r="G233" s="12"/>
      <c r="H233" s="12"/>
      <c r="I233" s="12"/>
      <c r="J233" s="13"/>
      <c r="K233" s="12"/>
      <c r="L233" s="14"/>
      <c r="M233" s="15" t="str">
        <f aca="false">IF($L233="","",$L233+Einstellungen!$B$3)</f>
        <v/>
      </c>
      <c r="N233" s="15" t="str">
        <f aca="false">IF($L233="","",$L233+Einstellungen!$B$4)</f>
        <v/>
      </c>
      <c r="O233" s="15" t="str">
        <f aca="false">IF($L233="","",$L233+Einstellungen!$B$5)</f>
        <v/>
      </c>
      <c r="P233" s="16" t="str">
        <f aca="true">IF($B233="","",IF(OR($K233="Gewonnen",$K233="Verloren",$K233="Kein Interesse"),"abgeschlossen",IF(OR($K233="Neu",$K233="Recherchiert",$K233=""),"Erstkontakt vorbereiten",IF($K233="Kontaktiert",IF($L233="","Datum eintragen",IF(TODAY()&gt;=$O233,"Follow-up 3 fällig",IF(TODAY()&gt;=$N233,"Follow-up 2 fällig",IF(TODAY()&gt;=$M233,"Follow-up 1 fällig","warten")))),IF($K233="Antwort","Antworten",IF($K233="Gespräch","Nachbereiten",IF($K233="Angebot","Angebot nachfassen","")))))))</f>
        <v/>
      </c>
      <c r="Q233" s="17"/>
      <c r="R233" s="13"/>
    </row>
    <row r="234" customFormat="false" ht="15" hidden="false" customHeight="true" outlineLevel="0" collapsed="false">
      <c r="A234" s="12"/>
      <c r="B234" s="12"/>
      <c r="C234" s="12"/>
      <c r="D234" s="12"/>
      <c r="E234" s="12"/>
      <c r="F234" s="12"/>
      <c r="G234" s="12"/>
      <c r="H234" s="12"/>
      <c r="I234" s="12"/>
      <c r="J234" s="13"/>
      <c r="K234" s="12"/>
      <c r="L234" s="14"/>
      <c r="M234" s="15" t="str">
        <f aca="false">IF($L234="","",$L234+Einstellungen!$B$3)</f>
        <v/>
      </c>
      <c r="N234" s="15" t="str">
        <f aca="false">IF($L234="","",$L234+Einstellungen!$B$4)</f>
        <v/>
      </c>
      <c r="O234" s="15" t="str">
        <f aca="false">IF($L234="","",$L234+Einstellungen!$B$5)</f>
        <v/>
      </c>
      <c r="P234" s="16" t="str">
        <f aca="true">IF($B234="","",IF(OR($K234="Gewonnen",$K234="Verloren",$K234="Kein Interesse"),"abgeschlossen",IF(OR($K234="Neu",$K234="Recherchiert",$K234=""),"Erstkontakt vorbereiten",IF($K234="Kontaktiert",IF($L234="","Datum eintragen",IF(TODAY()&gt;=$O234,"Follow-up 3 fällig",IF(TODAY()&gt;=$N234,"Follow-up 2 fällig",IF(TODAY()&gt;=$M234,"Follow-up 1 fällig","warten")))),IF($K234="Antwort","Antworten",IF($K234="Gespräch","Nachbereiten",IF($K234="Angebot","Angebot nachfassen","")))))))</f>
        <v/>
      </c>
      <c r="Q234" s="17"/>
      <c r="R234" s="13"/>
    </row>
    <row r="235" customFormat="false" ht="15" hidden="false" customHeight="true" outlineLevel="0" collapsed="false">
      <c r="A235" s="12"/>
      <c r="B235" s="12"/>
      <c r="C235" s="12"/>
      <c r="D235" s="12"/>
      <c r="E235" s="12"/>
      <c r="F235" s="12"/>
      <c r="G235" s="12"/>
      <c r="H235" s="12"/>
      <c r="I235" s="12"/>
      <c r="J235" s="13"/>
      <c r="K235" s="12"/>
      <c r="L235" s="14"/>
      <c r="M235" s="15" t="str">
        <f aca="false">IF($L235="","",$L235+Einstellungen!$B$3)</f>
        <v/>
      </c>
      <c r="N235" s="15" t="str">
        <f aca="false">IF($L235="","",$L235+Einstellungen!$B$4)</f>
        <v/>
      </c>
      <c r="O235" s="15" t="str">
        <f aca="false">IF($L235="","",$L235+Einstellungen!$B$5)</f>
        <v/>
      </c>
      <c r="P235" s="16" t="str">
        <f aca="true">IF($B235="","",IF(OR($K235="Gewonnen",$K235="Verloren",$K235="Kein Interesse"),"abgeschlossen",IF(OR($K235="Neu",$K235="Recherchiert",$K235=""),"Erstkontakt vorbereiten",IF($K235="Kontaktiert",IF($L235="","Datum eintragen",IF(TODAY()&gt;=$O235,"Follow-up 3 fällig",IF(TODAY()&gt;=$N235,"Follow-up 2 fällig",IF(TODAY()&gt;=$M235,"Follow-up 1 fällig","warten")))),IF($K235="Antwort","Antworten",IF($K235="Gespräch","Nachbereiten",IF($K235="Angebot","Angebot nachfassen","")))))))</f>
        <v/>
      </c>
      <c r="Q235" s="17"/>
      <c r="R235" s="13"/>
    </row>
    <row r="236" customFormat="false" ht="15" hidden="false" customHeight="tru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3"/>
      <c r="K236" s="12"/>
      <c r="L236" s="14"/>
      <c r="M236" s="15" t="str">
        <f aca="false">IF($L236="","",$L236+Einstellungen!$B$3)</f>
        <v/>
      </c>
      <c r="N236" s="15" t="str">
        <f aca="false">IF($L236="","",$L236+Einstellungen!$B$4)</f>
        <v/>
      </c>
      <c r="O236" s="15" t="str">
        <f aca="false">IF($L236="","",$L236+Einstellungen!$B$5)</f>
        <v/>
      </c>
      <c r="P236" s="16" t="str">
        <f aca="true">IF($B236="","",IF(OR($K236="Gewonnen",$K236="Verloren",$K236="Kein Interesse"),"abgeschlossen",IF(OR($K236="Neu",$K236="Recherchiert",$K236=""),"Erstkontakt vorbereiten",IF($K236="Kontaktiert",IF($L236="","Datum eintragen",IF(TODAY()&gt;=$O236,"Follow-up 3 fällig",IF(TODAY()&gt;=$N236,"Follow-up 2 fällig",IF(TODAY()&gt;=$M236,"Follow-up 1 fällig","warten")))),IF($K236="Antwort","Antworten",IF($K236="Gespräch","Nachbereiten",IF($K236="Angebot","Angebot nachfassen","")))))))</f>
        <v/>
      </c>
      <c r="Q236" s="17"/>
      <c r="R236" s="13"/>
    </row>
    <row r="237" customFormat="false" ht="15" hidden="false" customHeight="true" outlineLevel="0" collapsed="false">
      <c r="A237" s="12"/>
      <c r="B237" s="12"/>
      <c r="C237" s="12"/>
      <c r="D237" s="12"/>
      <c r="E237" s="12"/>
      <c r="F237" s="12"/>
      <c r="G237" s="12"/>
      <c r="H237" s="12"/>
      <c r="I237" s="12"/>
      <c r="J237" s="13"/>
      <c r="K237" s="12"/>
      <c r="L237" s="14"/>
      <c r="M237" s="15" t="str">
        <f aca="false">IF($L237="","",$L237+Einstellungen!$B$3)</f>
        <v/>
      </c>
      <c r="N237" s="15" t="str">
        <f aca="false">IF($L237="","",$L237+Einstellungen!$B$4)</f>
        <v/>
      </c>
      <c r="O237" s="15" t="str">
        <f aca="false">IF($L237="","",$L237+Einstellungen!$B$5)</f>
        <v/>
      </c>
      <c r="P237" s="16" t="str">
        <f aca="true">IF($B237="","",IF(OR($K237="Gewonnen",$K237="Verloren",$K237="Kein Interesse"),"abgeschlossen",IF(OR($K237="Neu",$K237="Recherchiert",$K237=""),"Erstkontakt vorbereiten",IF($K237="Kontaktiert",IF($L237="","Datum eintragen",IF(TODAY()&gt;=$O237,"Follow-up 3 fällig",IF(TODAY()&gt;=$N237,"Follow-up 2 fällig",IF(TODAY()&gt;=$M237,"Follow-up 1 fällig","warten")))),IF($K237="Antwort","Antworten",IF($K237="Gespräch","Nachbereiten",IF($K237="Angebot","Angebot nachfassen","")))))))</f>
        <v/>
      </c>
      <c r="Q237" s="17"/>
      <c r="R237" s="13"/>
    </row>
    <row r="238" customFormat="false" ht="15" hidden="false" customHeight="true" outlineLevel="0" collapsed="false">
      <c r="A238" s="12"/>
      <c r="B238" s="12"/>
      <c r="C238" s="12"/>
      <c r="D238" s="12"/>
      <c r="E238" s="12"/>
      <c r="F238" s="12"/>
      <c r="G238" s="12"/>
      <c r="H238" s="12"/>
      <c r="I238" s="12"/>
      <c r="J238" s="13"/>
      <c r="K238" s="12"/>
      <c r="L238" s="14"/>
      <c r="M238" s="15" t="str">
        <f aca="false">IF($L238="","",$L238+Einstellungen!$B$3)</f>
        <v/>
      </c>
      <c r="N238" s="15" t="str">
        <f aca="false">IF($L238="","",$L238+Einstellungen!$B$4)</f>
        <v/>
      </c>
      <c r="O238" s="15" t="str">
        <f aca="false">IF($L238="","",$L238+Einstellungen!$B$5)</f>
        <v/>
      </c>
      <c r="P238" s="16" t="str">
        <f aca="true">IF($B238="","",IF(OR($K238="Gewonnen",$K238="Verloren",$K238="Kein Interesse"),"abgeschlossen",IF(OR($K238="Neu",$K238="Recherchiert",$K238=""),"Erstkontakt vorbereiten",IF($K238="Kontaktiert",IF($L238="","Datum eintragen",IF(TODAY()&gt;=$O238,"Follow-up 3 fällig",IF(TODAY()&gt;=$N238,"Follow-up 2 fällig",IF(TODAY()&gt;=$M238,"Follow-up 1 fällig","warten")))),IF($K238="Antwort","Antworten",IF($K238="Gespräch","Nachbereiten",IF($K238="Angebot","Angebot nachfassen","")))))))</f>
        <v/>
      </c>
      <c r="Q238" s="17"/>
      <c r="R238" s="13"/>
    </row>
    <row r="239" customFormat="false" ht="15" hidden="false" customHeight="true" outlineLevel="0" collapsed="false">
      <c r="A239" s="12"/>
      <c r="B239" s="12"/>
      <c r="C239" s="12"/>
      <c r="D239" s="12"/>
      <c r="E239" s="12"/>
      <c r="F239" s="12"/>
      <c r="G239" s="12"/>
      <c r="H239" s="12"/>
      <c r="I239" s="12"/>
      <c r="J239" s="13"/>
      <c r="K239" s="12"/>
      <c r="L239" s="14"/>
      <c r="M239" s="15" t="str">
        <f aca="false">IF($L239="","",$L239+Einstellungen!$B$3)</f>
        <v/>
      </c>
      <c r="N239" s="15" t="str">
        <f aca="false">IF($L239="","",$L239+Einstellungen!$B$4)</f>
        <v/>
      </c>
      <c r="O239" s="15" t="str">
        <f aca="false">IF($L239="","",$L239+Einstellungen!$B$5)</f>
        <v/>
      </c>
      <c r="P239" s="16" t="str">
        <f aca="true">IF($B239="","",IF(OR($K239="Gewonnen",$K239="Verloren",$K239="Kein Interesse"),"abgeschlossen",IF(OR($K239="Neu",$K239="Recherchiert",$K239=""),"Erstkontakt vorbereiten",IF($K239="Kontaktiert",IF($L239="","Datum eintragen",IF(TODAY()&gt;=$O239,"Follow-up 3 fällig",IF(TODAY()&gt;=$N239,"Follow-up 2 fällig",IF(TODAY()&gt;=$M239,"Follow-up 1 fällig","warten")))),IF($K239="Antwort","Antworten",IF($K239="Gespräch","Nachbereiten",IF($K239="Angebot","Angebot nachfassen","")))))))</f>
        <v/>
      </c>
      <c r="Q239" s="17"/>
      <c r="R239" s="13"/>
    </row>
    <row r="240" customFormat="false" ht="15" hidden="false" customHeight="true" outlineLevel="0" collapsed="false">
      <c r="A240" s="12"/>
      <c r="B240" s="12"/>
      <c r="C240" s="12"/>
      <c r="D240" s="12"/>
      <c r="E240" s="12"/>
      <c r="F240" s="12"/>
      <c r="G240" s="12"/>
      <c r="H240" s="12"/>
      <c r="I240" s="12"/>
      <c r="J240" s="13"/>
      <c r="K240" s="12"/>
      <c r="L240" s="14"/>
      <c r="M240" s="15" t="str">
        <f aca="false">IF($L240="","",$L240+Einstellungen!$B$3)</f>
        <v/>
      </c>
      <c r="N240" s="15" t="str">
        <f aca="false">IF($L240="","",$L240+Einstellungen!$B$4)</f>
        <v/>
      </c>
      <c r="O240" s="15" t="str">
        <f aca="false">IF($L240="","",$L240+Einstellungen!$B$5)</f>
        <v/>
      </c>
      <c r="P240" s="16" t="str">
        <f aca="true">IF($B240="","",IF(OR($K240="Gewonnen",$K240="Verloren",$K240="Kein Interesse"),"abgeschlossen",IF(OR($K240="Neu",$K240="Recherchiert",$K240=""),"Erstkontakt vorbereiten",IF($K240="Kontaktiert",IF($L240="","Datum eintragen",IF(TODAY()&gt;=$O240,"Follow-up 3 fällig",IF(TODAY()&gt;=$N240,"Follow-up 2 fällig",IF(TODAY()&gt;=$M240,"Follow-up 1 fällig","warten")))),IF($K240="Antwort","Antworten",IF($K240="Gespräch","Nachbereiten",IF($K240="Angebot","Angebot nachfassen","")))))))</f>
        <v/>
      </c>
      <c r="Q240" s="17"/>
      <c r="R240" s="13"/>
    </row>
    <row r="241" customFormat="false" ht="15" hidden="false" customHeight="true" outlineLevel="0" collapsed="false">
      <c r="A241" s="12"/>
      <c r="B241" s="12"/>
      <c r="C241" s="12"/>
      <c r="D241" s="12"/>
      <c r="E241" s="12"/>
      <c r="F241" s="12"/>
      <c r="G241" s="12"/>
      <c r="H241" s="12"/>
      <c r="I241" s="12"/>
      <c r="J241" s="13"/>
      <c r="K241" s="12"/>
      <c r="L241" s="14"/>
      <c r="M241" s="15" t="str">
        <f aca="false">IF($L241="","",$L241+Einstellungen!$B$3)</f>
        <v/>
      </c>
      <c r="N241" s="15" t="str">
        <f aca="false">IF($L241="","",$L241+Einstellungen!$B$4)</f>
        <v/>
      </c>
      <c r="O241" s="15" t="str">
        <f aca="false">IF($L241="","",$L241+Einstellungen!$B$5)</f>
        <v/>
      </c>
      <c r="P241" s="16" t="str">
        <f aca="true">IF($B241="","",IF(OR($K241="Gewonnen",$K241="Verloren",$K241="Kein Interesse"),"abgeschlossen",IF(OR($K241="Neu",$K241="Recherchiert",$K241=""),"Erstkontakt vorbereiten",IF($K241="Kontaktiert",IF($L241="","Datum eintragen",IF(TODAY()&gt;=$O241,"Follow-up 3 fällig",IF(TODAY()&gt;=$N241,"Follow-up 2 fällig",IF(TODAY()&gt;=$M241,"Follow-up 1 fällig","warten")))),IF($K241="Antwort","Antworten",IF($K241="Gespräch","Nachbereiten",IF($K241="Angebot","Angebot nachfassen","")))))))</f>
        <v/>
      </c>
      <c r="Q241" s="17"/>
      <c r="R241" s="13"/>
    </row>
    <row r="242" customFormat="false" ht="15" hidden="false" customHeight="true" outlineLevel="0" collapsed="false">
      <c r="A242" s="12"/>
      <c r="B242" s="12"/>
      <c r="C242" s="12"/>
      <c r="D242" s="12"/>
      <c r="E242" s="12"/>
      <c r="F242" s="12"/>
      <c r="G242" s="12"/>
      <c r="H242" s="12"/>
      <c r="I242" s="12"/>
      <c r="J242" s="13"/>
      <c r="K242" s="12"/>
      <c r="L242" s="14"/>
      <c r="M242" s="15" t="str">
        <f aca="false">IF($L242="","",$L242+Einstellungen!$B$3)</f>
        <v/>
      </c>
      <c r="N242" s="15" t="str">
        <f aca="false">IF($L242="","",$L242+Einstellungen!$B$4)</f>
        <v/>
      </c>
      <c r="O242" s="15" t="str">
        <f aca="false">IF($L242="","",$L242+Einstellungen!$B$5)</f>
        <v/>
      </c>
      <c r="P242" s="16" t="str">
        <f aca="true">IF($B242="","",IF(OR($K242="Gewonnen",$K242="Verloren",$K242="Kein Interesse"),"abgeschlossen",IF(OR($K242="Neu",$K242="Recherchiert",$K242=""),"Erstkontakt vorbereiten",IF($K242="Kontaktiert",IF($L242="","Datum eintragen",IF(TODAY()&gt;=$O242,"Follow-up 3 fällig",IF(TODAY()&gt;=$N242,"Follow-up 2 fällig",IF(TODAY()&gt;=$M242,"Follow-up 1 fällig","warten")))),IF($K242="Antwort","Antworten",IF($K242="Gespräch","Nachbereiten",IF($K242="Angebot","Angebot nachfassen","")))))))</f>
        <v/>
      </c>
      <c r="Q242" s="17"/>
      <c r="R242" s="13"/>
    </row>
    <row r="243" customFormat="false" ht="15" hidden="false" customHeight="tru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3"/>
      <c r="K243" s="12"/>
      <c r="L243" s="14"/>
      <c r="M243" s="15" t="str">
        <f aca="false">IF($L243="","",$L243+Einstellungen!$B$3)</f>
        <v/>
      </c>
      <c r="N243" s="15" t="str">
        <f aca="false">IF($L243="","",$L243+Einstellungen!$B$4)</f>
        <v/>
      </c>
      <c r="O243" s="15" t="str">
        <f aca="false">IF($L243="","",$L243+Einstellungen!$B$5)</f>
        <v/>
      </c>
      <c r="P243" s="16" t="str">
        <f aca="true">IF($B243="","",IF(OR($K243="Gewonnen",$K243="Verloren",$K243="Kein Interesse"),"abgeschlossen",IF(OR($K243="Neu",$K243="Recherchiert",$K243=""),"Erstkontakt vorbereiten",IF($K243="Kontaktiert",IF($L243="","Datum eintragen",IF(TODAY()&gt;=$O243,"Follow-up 3 fällig",IF(TODAY()&gt;=$N243,"Follow-up 2 fällig",IF(TODAY()&gt;=$M243,"Follow-up 1 fällig","warten")))),IF($K243="Antwort","Antworten",IF($K243="Gespräch","Nachbereiten",IF($K243="Angebot","Angebot nachfassen","")))))))</f>
        <v/>
      </c>
      <c r="Q243" s="17"/>
      <c r="R243" s="13"/>
    </row>
    <row r="244" customFormat="false" ht="15" hidden="false" customHeight="true" outlineLevel="0" collapsed="false">
      <c r="A244" s="12"/>
      <c r="B244" s="12"/>
      <c r="C244" s="12"/>
      <c r="D244" s="12"/>
      <c r="E244" s="12"/>
      <c r="F244" s="12"/>
      <c r="G244" s="12"/>
      <c r="H244" s="12"/>
      <c r="I244" s="12"/>
      <c r="J244" s="13"/>
      <c r="K244" s="12"/>
      <c r="L244" s="14"/>
      <c r="M244" s="15" t="str">
        <f aca="false">IF($L244="","",$L244+Einstellungen!$B$3)</f>
        <v/>
      </c>
      <c r="N244" s="15" t="str">
        <f aca="false">IF($L244="","",$L244+Einstellungen!$B$4)</f>
        <v/>
      </c>
      <c r="O244" s="15" t="str">
        <f aca="false">IF($L244="","",$L244+Einstellungen!$B$5)</f>
        <v/>
      </c>
      <c r="P244" s="16" t="str">
        <f aca="true">IF($B244="","",IF(OR($K244="Gewonnen",$K244="Verloren",$K244="Kein Interesse"),"abgeschlossen",IF(OR($K244="Neu",$K244="Recherchiert",$K244=""),"Erstkontakt vorbereiten",IF($K244="Kontaktiert",IF($L244="","Datum eintragen",IF(TODAY()&gt;=$O244,"Follow-up 3 fällig",IF(TODAY()&gt;=$N244,"Follow-up 2 fällig",IF(TODAY()&gt;=$M244,"Follow-up 1 fällig","warten")))),IF($K244="Antwort","Antworten",IF($K244="Gespräch","Nachbereiten",IF($K244="Angebot","Angebot nachfassen","")))))))</f>
        <v/>
      </c>
      <c r="Q244" s="17"/>
      <c r="R244" s="13"/>
    </row>
    <row r="245" customFormat="false" ht="15" hidden="false" customHeight="true" outlineLevel="0" collapsed="false">
      <c r="A245" s="12"/>
      <c r="B245" s="12"/>
      <c r="C245" s="12"/>
      <c r="D245" s="12"/>
      <c r="E245" s="12"/>
      <c r="F245" s="12"/>
      <c r="G245" s="12"/>
      <c r="H245" s="12"/>
      <c r="I245" s="12"/>
      <c r="J245" s="13"/>
      <c r="K245" s="12"/>
      <c r="L245" s="14"/>
      <c r="M245" s="15" t="str">
        <f aca="false">IF($L245="","",$L245+Einstellungen!$B$3)</f>
        <v/>
      </c>
      <c r="N245" s="15" t="str">
        <f aca="false">IF($L245="","",$L245+Einstellungen!$B$4)</f>
        <v/>
      </c>
      <c r="O245" s="15" t="str">
        <f aca="false">IF($L245="","",$L245+Einstellungen!$B$5)</f>
        <v/>
      </c>
      <c r="P245" s="16" t="str">
        <f aca="true">IF($B245="","",IF(OR($K245="Gewonnen",$K245="Verloren",$K245="Kein Interesse"),"abgeschlossen",IF(OR($K245="Neu",$K245="Recherchiert",$K245=""),"Erstkontakt vorbereiten",IF($K245="Kontaktiert",IF($L245="","Datum eintragen",IF(TODAY()&gt;=$O245,"Follow-up 3 fällig",IF(TODAY()&gt;=$N245,"Follow-up 2 fällig",IF(TODAY()&gt;=$M245,"Follow-up 1 fällig","warten")))),IF($K245="Antwort","Antworten",IF($K245="Gespräch","Nachbereiten",IF($K245="Angebot","Angebot nachfassen","")))))))</f>
        <v/>
      </c>
      <c r="Q245" s="17"/>
      <c r="R245" s="13"/>
    </row>
    <row r="246" customFormat="false" ht="15" hidden="false" customHeight="true" outlineLevel="0" collapsed="false">
      <c r="A246" s="12"/>
      <c r="B246" s="12"/>
      <c r="C246" s="12"/>
      <c r="D246" s="12"/>
      <c r="E246" s="12"/>
      <c r="F246" s="12"/>
      <c r="G246" s="12"/>
      <c r="H246" s="12"/>
      <c r="I246" s="12"/>
      <c r="J246" s="13"/>
      <c r="K246" s="12"/>
      <c r="L246" s="14"/>
      <c r="M246" s="15" t="str">
        <f aca="false">IF($L246="","",$L246+Einstellungen!$B$3)</f>
        <v/>
      </c>
      <c r="N246" s="15" t="str">
        <f aca="false">IF($L246="","",$L246+Einstellungen!$B$4)</f>
        <v/>
      </c>
      <c r="O246" s="15" t="str">
        <f aca="false">IF($L246="","",$L246+Einstellungen!$B$5)</f>
        <v/>
      </c>
      <c r="P246" s="16" t="str">
        <f aca="true">IF($B246="","",IF(OR($K246="Gewonnen",$K246="Verloren",$K246="Kein Interesse"),"abgeschlossen",IF(OR($K246="Neu",$K246="Recherchiert",$K246=""),"Erstkontakt vorbereiten",IF($K246="Kontaktiert",IF($L246="","Datum eintragen",IF(TODAY()&gt;=$O246,"Follow-up 3 fällig",IF(TODAY()&gt;=$N246,"Follow-up 2 fällig",IF(TODAY()&gt;=$M246,"Follow-up 1 fällig","warten")))),IF($K246="Antwort","Antworten",IF($K246="Gespräch","Nachbereiten",IF($K246="Angebot","Angebot nachfassen","")))))))</f>
        <v/>
      </c>
      <c r="Q246" s="17"/>
      <c r="R246" s="13"/>
    </row>
    <row r="247" customFormat="false" ht="15" hidden="false" customHeight="true" outlineLevel="0" collapsed="false">
      <c r="A247" s="12"/>
      <c r="B247" s="12"/>
      <c r="C247" s="12"/>
      <c r="D247" s="12"/>
      <c r="E247" s="12"/>
      <c r="F247" s="12"/>
      <c r="G247" s="12"/>
      <c r="H247" s="12"/>
      <c r="I247" s="12"/>
      <c r="J247" s="13"/>
      <c r="K247" s="12"/>
      <c r="L247" s="14"/>
      <c r="M247" s="15" t="str">
        <f aca="false">IF($L247="","",$L247+Einstellungen!$B$3)</f>
        <v/>
      </c>
      <c r="N247" s="15" t="str">
        <f aca="false">IF($L247="","",$L247+Einstellungen!$B$4)</f>
        <v/>
      </c>
      <c r="O247" s="15" t="str">
        <f aca="false">IF($L247="","",$L247+Einstellungen!$B$5)</f>
        <v/>
      </c>
      <c r="P247" s="16" t="str">
        <f aca="true">IF($B247="","",IF(OR($K247="Gewonnen",$K247="Verloren",$K247="Kein Interesse"),"abgeschlossen",IF(OR($K247="Neu",$K247="Recherchiert",$K247=""),"Erstkontakt vorbereiten",IF($K247="Kontaktiert",IF($L247="","Datum eintragen",IF(TODAY()&gt;=$O247,"Follow-up 3 fällig",IF(TODAY()&gt;=$N247,"Follow-up 2 fällig",IF(TODAY()&gt;=$M247,"Follow-up 1 fällig","warten")))),IF($K247="Antwort","Antworten",IF($K247="Gespräch","Nachbereiten",IF($K247="Angebot","Angebot nachfassen","")))))))</f>
        <v/>
      </c>
      <c r="Q247" s="17"/>
      <c r="R247" s="13"/>
    </row>
    <row r="248" customFormat="false" ht="15" hidden="false" customHeight="true" outlineLevel="0" collapsed="false">
      <c r="A248" s="12"/>
      <c r="B248" s="12"/>
      <c r="C248" s="12"/>
      <c r="D248" s="12"/>
      <c r="E248" s="12"/>
      <c r="F248" s="12"/>
      <c r="G248" s="12"/>
      <c r="H248" s="12"/>
      <c r="I248" s="12"/>
      <c r="J248" s="13"/>
      <c r="K248" s="12"/>
      <c r="L248" s="14"/>
      <c r="M248" s="15" t="str">
        <f aca="false">IF($L248="","",$L248+Einstellungen!$B$3)</f>
        <v/>
      </c>
      <c r="N248" s="15" t="str">
        <f aca="false">IF($L248="","",$L248+Einstellungen!$B$4)</f>
        <v/>
      </c>
      <c r="O248" s="15" t="str">
        <f aca="false">IF($L248="","",$L248+Einstellungen!$B$5)</f>
        <v/>
      </c>
      <c r="P248" s="16" t="str">
        <f aca="true">IF($B248="","",IF(OR($K248="Gewonnen",$K248="Verloren",$K248="Kein Interesse"),"abgeschlossen",IF(OR($K248="Neu",$K248="Recherchiert",$K248=""),"Erstkontakt vorbereiten",IF($K248="Kontaktiert",IF($L248="","Datum eintragen",IF(TODAY()&gt;=$O248,"Follow-up 3 fällig",IF(TODAY()&gt;=$N248,"Follow-up 2 fällig",IF(TODAY()&gt;=$M248,"Follow-up 1 fällig","warten")))),IF($K248="Antwort","Antworten",IF($K248="Gespräch","Nachbereiten",IF($K248="Angebot","Angebot nachfassen","")))))))</f>
        <v/>
      </c>
      <c r="Q248" s="17"/>
      <c r="R248" s="13"/>
    </row>
    <row r="249" customFormat="false" ht="15" hidden="false" customHeight="true" outlineLevel="0" collapsed="false">
      <c r="A249" s="12"/>
      <c r="B249" s="12"/>
      <c r="C249" s="12"/>
      <c r="D249" s="12"/>
      <c r="E249" s="12"/>
      <c r="F249" s="12"/>
      <c r="G249" s="12"/>
      <c r="H249" s="12"/>
      <c r="I249" s="12"/>
      <c r="J249" s="13"/>
      <c r="K249" s="12"/>
      <c r="L249" s="14"/>
      <c r="M249" s="15" t="str">
        <f aca="false">IF($L249="","",$L249+Einstellungen!$B$3)</f>
        <v/>
      </c>
      <c r="N249" s="15" t="str">
        <f aca="false">IF($L249="","",$L249+Einstellungen!$B$4)</f>
        <v/>
      </c>
      <c r="O249" s="15" t="str">
        <f aca="false">IF($L249="","",$L249+Einstellungen!$B$5)</f>
        <v/>
      </c>
      <c r="P249" s="16" t="str">
        <f aca="true">IF($B249="","",IF(OR($K249="Gewonnen",$K249="Verloren",$K249="Kein Interesse"),"abgeschlossen",IF(OR($K249="Neu",$K249="Recherchiert",$K249=""),"Erstkontakt vorbereiten",IF($K249="Kontaktiert",IF($L249="","Datum eintragen",IF(TODAY()&gt;=$O249,"Follow-up 3 fällig",IF(TODAY()&gt;=$N249,"Follow-up 2 fällig",IF(TODAY()&gt;=$M249,"Follow-up 1 fällig","warten")))),IF($K249="Antwort","Antworten",IF($K249="Gespräch","Nachbereiten",IF($K249="Angebot","Angebot nachfassen","")))))))</f>
        <v/>
      </c>
      <c r="Q249" s="17"/>
      <c r="R249" s="13"/>
    </row>
    <row r="250" customFormat="false" ht="15" hidden="false" customHeight="tru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  <c r="J250" s="13"/>
      <c r="K250" s="12"/>
      <c r="L250" s="14"/>
      <c r="M250" s="15" t="str">
        <f aca="false">IF($L250="","",$L250+Einstellungen!$B$3)</f>
        <v/>
      </c>
      <c r="N250" s="15" t="str">
        <f aca="false">IF($L250="","",$L250+Einstellungen!$B$4)</f>
        <v/>
      </c>
      <c r="O250" s="15" t="str">
        <f aca="false">IF($L250="","",$L250+Einstellungen!$B$5)</f>
        <v/>
      </c>
      <c r="P250" s="16" t="str">
        <f aca="true">IF($B250="","",IF(OR($K250="Gewonnen",$K250="Verloren",$K250="Kein Interesse"),"abgeschlossen",IF(OR($K250="Neu",$K250="Recherchiert",$K250=""),"Erstkontakt vorbereiten",IF($K250="Kontaktiert",IF($L250="","Datum eintragen",IF(TODAY()&gt;=$O250,"Follow-up 3 fällig",IF(TODAY()&gt;=$N250,"Follow-up 2 fällig",IF(TODAY()&gt;=$M250,"Follow-up 1 fällig","warten")))),IF($K250="Antwort","Antworten",IF($K250="Gespräch","Nachbereiten",IF($K250="Angebot","Angebot nachfassen","")))))))</f>
        <v/>
      </c>
      <c r="Q250" s="17"/>
      <c r="R250" s="13"/>
    </row>
    <row r="251" customFormat="false" ht="15" hidden="false" customHeight="tru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  <c r="J251" s="13"/>
      <c r="K251" s="12"/>
      <c r="L251" s="14"/>
      <c r="M251" s="15" t="str">
        <f aca="false">IF($L251="","",$L251+Einstellungen!$B$3)</f>
        <v/>
      </c>
      <c r="N251" s="15" t="str">
        <f aca="false">IF($L251="","",$L251+Einstellungen!$B$4)</f>
        <v/>
      </c>
      <c r="O251" s="15" t="str">
        <f aca="false">IF($L251="","",$L251+Einstellungen!$B$5)</f>
        <v/>
      </c>
      <c r="P251" s="16" t="str">
        <f aca="true">IF($B251="","",IF(OR($K251="Gewonnen",$K251="Verloren",$K251="Kein Interesse"),"abgeschlossen",IF(OR($K251="Neu",$K251="Recherchiert",$K251=""),"Erstkontakt vorbereiten",IF($K251="Kontaktiert",IF($L251="","Datum eintragen",IF(TODAY()&gt;=$O251,"Follow-up 3 fällig",IF(TODAY()&gt;=$N251,"Follow-up 2 fällig",IF(TODAY()&gt;=$M251,"Follow-up 1 fällig","warten")))),IF($K251="Antwort","Antworten",IF($K251="Gespräch","Nachbereiten",IF($K251="Angebot","Angebot nachfassen","")))))))</f>
        <v/>
      </c>
      <c r="Q251" s="17"/>
      <c r="R251" s="13"/>
    </row>
    <row r="252" customFormat="false" ht="15" hidden="false" customHeight="tru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  <c r="J252" s="13"/>
      <c r="K252" s="12"/>
      <c r="L252" s="14"/>
      <c r="M252" s="15" t="str">
        <f aca="false">IF($L252="","",$L252+Einstellungen!$B$3)</f>
        <v/>
      </c>
      <c r="N252" s="15" t="str">
        <f aca="false">IF($L252="","",$L252+Einstellungen!$B$4)</f>
        <v/>
      </c>
      <c r="O252" s="15" t="str">
        <f aca="false">IF($L252="","",$L252+Einstellungen!$B$5)</f>
        <v/>
      </c>
      <c r="P252" s="16" t="str">
        <f aca="true">IF($B252="","",IF(OR($K252="Gewonnen",$K252="Verloren",$K252="Kein Interesse"),"abgeschlossen",IF(OR($K252="Neu",$K252="Recherchiert",$K252=""),"Erstkontakt vorbereiten",IF($K252="Kontaktiert",IF($L252="","Datum eintragen",IF(TODAY()&gt;=$O252,"Follow-up 3 fällig",IF(TODAY()&gt;=$N252,"Follow-up 2 fällig",IF(TODAY()&gt;=$M252,"Follow-up 1 fällig","warten")))),IF($K252="Antwort","Antworten",IF($K252="Gespräch","Nachbereiten",IF($K252="Angebot","Angebot nachfassen","")))))))</f>
        <v/>
      </c>
      <c r="Q252" s="17"/>
      <c r="R252" s="13"/>
    </row>
    <row r="253" customFormat="false" ht="15" hidden="false" customHeight="tru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3"/>
      <c r="K253" s="12"/>
      <c r="L253" s="14"/>
      <c r="M253" s="15" t="str">
        <f aca="false">IF($L253="","",$L253+Einstellungen!$B$3)</f>
        <v/>
      </c>
      <c r="N253" s="15" t="str">
        <f aca="false">IF($L253="","",$L253+Einstellungen!$B$4)</f>
        <v/>
      </c>
      <c r="O253" s="15" t="str">
        <f aca="false">IF($L253="","",$L253+Einstellungen!$B$5)</f>
        <v/>
      </c>
      <c r="P253" s="16" t="str">
        <f aca="true">IF($B253="","",IF(OR($K253="Gewonnen",$K253="Verloren",$K253="Kein Interesse"),"abgeschlossen",IF(OR($K253="Neu",$K253="Recherchiert",$K253=""),"Erstkontakt vorbereiten",IF($K253="Kontaktiert",IF($L253="","Datum eintragen",IF(TODAY()&gt;=$O253,"Follow-up 3 fällig",IF(TODAY()&gt;=$N253,"Follow-up 2 fällig",IF(TODAY()&gt;=$M253,"Follow-up 1 fällig","warten")))),IF($K253="Antwort","Antworten",IF($K253="Gespräch","Nachbereiten",IF($K253="Angebot","Angebot nachfassen","")))))))</f>
        <v/>
      </c>
      <c r="Q253" s="17"/>
      <c r="R253" s="13"/>
    </row>
    <row r="254" customFormat="false" ht="15" hidden="false" customHeight="tru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  <c r="J254" s="13"/>
      <c r="K254" s="12"/>
      <c r="L254" s="14"/>
      <c r="M254" s="15" t="str">
        <f aca="false">IF($L254="","",$L254+Einstellungen!$B$3)</f>
        <v/>
      </c>
      <c r="N254" s="15" t="str">
        <f aca="false">IF($L254="","",$L254+Einstellungen!$B$4)</f>
        <v/>
      </c>
      <c r="O254" s="15" t="str">
        <f aca="false">IF($L254="","",$L254+Einstellungen!$B$5)</f>
        <v/>
      </c>
      <c r="P254" s="16" t="str">
        <f aca="true">IF($B254="","",IF(OR($K254="Gewonnen",$K254="Verloren",$K254="Kein Interesse"),"abgeschlossen",IF(OR($K254="Neu",$K254="Recherchiert",$K254=""),"Erstkontakt vorbereiten",IF($K254="Kontaktiert",IF($L254="","Datum eintragen",IF(TODAY()&gt;=$O254,"Follow-up 3 fällig",IF(TODAY()&gt;=$N254,"Follow-up 2 fällig",IF(TODAY()&gt;=$M254,"Follow-up 1 fällig","warten")))),IF($K254="Antwort","Antworten",IF($K254="Gespräch","Nachbereiten",IF($K254="Angebot","Angebot nachfassen","")))))))</f>
        <v/>
      </c>
      <c r="Q254" s="17"/>
      <c r="R254" s="13"/>
    </row>
    <row r="255" customFormat="false" ht="15" hidden="false" customHeight="tru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  <c r="J255" s="13"/>
      <c r="K255" s="12"/>
      <c r="L255" s="14"/>
      <c r="M255" s="15" t="str">
        <f aca="false">IF($L255="","",$L255+Einstellungen!$B$3)</f>
        <v/>
      </c>
      <c r="N255" s="15" t="str">
        <f aca="false">IF($L255="","",$L255+Einstellungen!$B$4)</f>
        <v/>
      </c>
      <c r="O255" s="15" t="str">
        <f aca="false">IF($L255="","",$L255+Einstellungen!$B$5)</f>
        <v/>
      </c>
      <c r="P255" s="16" t="str">
        <f aca="true">IF($B255="","",IF(OR($K255="Gewonnen",$K255="Verloren",$K255="Kein Interesse"),"abgeschlossen",IF(OR($K255="Neu",$K255="Recherchiert",$K255=""),"Erstkontakt vorbereiten",IF($K255="Kontaktiert",IF($L255="","Datum eintragen",IF(TODAY()&gt;=$O255,"Follow-up 3 fällig",IF(TODAY()&gt;=$N255,"Follow-up 2 fällig",IF(TODAY()&gt;=$M255,"Follow-up 1 fällig","warten")))),IF($K255="Antwort","Antworten",IF($K255="Gespräch","Nachbereiten",IF($K255="Angebot","Angebot nachfassen","")))))))</f>
        <v/>
      </c>
      <c r="Q255" s="17"/>
      <c r="R255" s="13"/>
    </row>
    <row r="256" customFormat="false" ht="15" hidden="false" customHeight="tru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  <c r="J256" s="13"/>
      <c r="K256" s="12"/>
      <c r="L256" s="14"/>
      <c r="M256" s="15" t="str">
        <f aca="false">IF($L256="","",$L256+Einstellungen!$B$3)</f>
        <v/>
      </c>
      <c r="N256" s="15" t="str">
        <f aca="false">IF($L256="","",$L256+Einstellungen!$B$4)</f>
        <v/>
      </c>
      <c r="O256" s="15" t="str">
        <f aca="false">IF($L256="","",$L256+Einstellungen!$B$5)</f>
        <v/>
      </c>
      <c r="P256" s="16" t="str">
        <f aca="true">IF($B256="","",IF(OR($K256="Gewonnen",$K256="Verloren",$K256="Kein Interesse"),"abgeschlossen",IF(OR($K256="Neu",$K256="Recherchiert",$K256=""),"Erstkontakt vorbereiten",IF($K256="Kontaktiert",IF($L256="","Datum eintragen",IF(TODAY()&gt;=$O256,"Follow-up 3 fällig",IF(TODAY()&gt;=$N256,"Follow-up 2 fällig",IF(TODAY()&gt;=$M256,"Follow-up 1 fällig","warten")))),IF($K256="Antwort","Antworten",IF($K256="Gespräch","Nachbereiten",IF($K256="Angebot","Angebot nachfassen","")))))))</f>
        <v/>
      </c>
      <c r="Q256" s="17"/>
      <c r="R256" s="13"/>
    </row>
    <row r="257" customFormat="false" ht="15" hidden="false" customHeight="tru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  <c r="J257" s="13"/>
      <c r="K257" s="12"/>
      <c r="L257" s="14"/>
      <c r="M257" s="15" t="str">
        <f aca="false">IF($L257="","",$L257+Einstellungen!$B$3)</f>
        <v/>
      </c>
      <c r="N257" s="15" t="str">
        <f aca="false">IF($L257="","",$L257+Einstellungen!$B$4)</f>
        <v/>
      </c>
      <c r="O257" s="15" t="str">
        <f aca="false">IF($L257="","",$L257+Einstellungen!$B$5)</f>
        <v/>
      </c>
      <c r="P257" s="16" t="str">
        <f aca="true">IF($B257="","",IF(OR($K257="Gewonnen",$K257="Verloren",$K257="Kein Interesse"),"abgeschlossen",IF(OR($K257="Neu",$K257="Recherchiert",$K257=""),"Erstkontakt vorbereiten",IF($K257="Kontaktiert",IF($L257="","Datum eintragen",IF(TODAY()&gt;=$O257,"Follow-up 3 fällig",IF(TODAY()&gt;=$N257,"Follow-up 2 fällig",IF(TODAY()&gt;=$M257,"Follow-up 1 fällig","warten")))),IF($K257="Antwort","Antworten",IF($K257="Gespräch","Nachbereiten",IF($K257="Angebot","Angebot nachfassen","")))))))</f>
        <v/>
      </c>
      <c r="Q257" s="17"/>
      <c r="R257" s="13"/>
    </row>
    <row r="258" customFormat="false" ht="15" hidden="false" customHeight="tru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  <c r="J258" s="13"/>
      <c r="K258" s="12"/>
      <c r="L258" s="14"/>
      <c r="M258" s="15" t="str">
        <f aca="false">IF($L258="","",$L258+Einstellungen!$B$3)</f>
        <v/>
      </c>
      <c r="N258" s="15" t="str">
        <f aca="false">IF($L258="","",$L258+Einstellungen!$B$4)</f>
        <v/>
      </c>
      <c r="O258" s="15" t="str">
        <f aca="false">IF($L258="","",$L258+Einstellungen!$B$5)</f>
        <v/>
      </c>
      <c r="P258" s="16" t="str">
        <f aca="true">IF($B258="","",IF(OR($K258="Gewonnen",$K258="Verloren",$K258="Kein Interesse"),"abgeschlossen",IF(OR($K258="Neu",$K258="Recherchiert",$K258=""),"Erstkontakt vorbereiten",IF($K258="Kontaktiert",IF($L258="","Datum eintragen",IF(TODAY()&gt;=$O258,"Follow-up 3 fällig",IF(TODAY()&gt;=$N258,"Follow-up 2 fällig",IF(TODAY()&gt;=$M258,"Follow-up 1 fällig","warten")))),IF($K258="Antwort","Antworten",IF($K258="Gespräch","Nachbereiten",IF($K258="Angebot","Angebot nachfassen","")))))))</f>
        <v/>
      </c>
      <c r="Q258" s="17"/>
      <c r="R258" s="13"/>
    </row>
    <row r="259" customFormat="false" ht="15" hidden="false" customHeight="tru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  <c r="J259" s="13"/>
      <c r="K259" s="12"/>
      <c r="L259" s="14"/>
      <c r="M259" s="15" t="str">
        <f aca="false">IF($L259="","",$L259+Einstellungen!$B$3)</f>
        <v/>
      </c>
      <c r="N259" s="15" t="str">
        <f aca="false">IF($L259="","",$L259+Einstellungen!$B$4)</f>
        <v/>
      </c>
      <c r="O259" s="15" t="str">
        <f aca="false">IF($L259="","",$L259+Einstellungen!$B$5)</f>
        <v/>
      </c>
      <c r="P259" s="16" t="str">
        <f aca="true">IF($B259="","",IF(OR($K259="Gewonnen",$K259="Verloren",$K259="Kein Interesse"),"abgeschlossen",IF(OR($K259="Neu",$K259="Recherchiert",$K259=""),"Erstkontakt vorbereiten",IF($K259="Kontaktiert",IF($L259="","Datum eintragen",IF(TODAY()&gt;=$O259,"Follow-up 3 fällig",IF(TODAY()&gt;=$N259,"Follow-up 2 fällig",IF(TODAY()&gt;=$M259,"Follow-up 1 fällig","warten")))),IF($K259="Antwort","Antworten",IF($K259="Gespräch","Nachbereiten",IF($K259="Angebot","Angebot nachfassen","")))))))</f>
        <v/>
      </c>
      <c r="Q259" s="17"/>
      <c r="R259" s="13"/>
    </row>
    <row r="260" customFormat="false" ht="15" hidden="false" customHeight="tru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  <c r="J260" s="13"/>
      <c r="K260" s="12"/>
      <c r="L260" s="14"/>
      <c r="M260" s="15" t="str">
        <f aca="false">IF($L260="","",$L260+Einstellungen!$B$3)</f>
        <v/>
      </c>
      <c r="N260" s="15" t="str">
        <f aca="false">IF($L260="","",$L260+Einstellungen!$B$4)</f>
        <v/>
      </c>
      <c r="O260" s="15" t="str">
        <f aca="false">IF($L260="","",$L260+Einstellungen!$B$5)</f>
        <v/>
      </c>
      <c r="P260" s="16" t="str">
        <f aca="true">IF($B260="","",IF(OR($K260="Gewonnen",$K260="Verloren",$K260="Kein Interesse"),"abgeschlossen",IF(OR($K260="Neu",$K260="Recherchiert",$K260=""),"Erstkontakt vorbereiten",IF($K260="Kontaktiert",IF($L260="","Datum eintragen",IF(TODAY()&gt;=$O260,"Follow-up 3 fällig",IF(TODAY()&gt;=$N260,"Follow-up 2 fällig",IF(TODAY()&gt;=$M260,"Follow-up 1 fällig","warten")))),IF($K260="Antwort","Antworten",IF($K260="Gespräch","Nachbereiten",IF($K260="Angebot","Angebot nachfassen","")))))))</f>
        <v/>
      </c>
      <c r="Q260" s="17"/>
      <c r="R260" s="13"/>
    </row>
    <row r="261" customFormat="false" ht="15" hidden="false" customHeight="tru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  <c r="J261" s="13"/>
      <c r="K261" s="12"/>
      <c r="L261" s="14"/>
      <c r="M261" s="15" t="str">
        <f aca="false">IF($L261="","",$L261+Einstellungen!$B$3)</f>
        <v/>
      </c>
      <c r="N261" s="15" t="str">
        <f aca="false">IF($L261="","",$L261+Einstellungen!$B$4)</f>
        <v/>
      </c>
      <c r="O261" s="15" t="str">
        <f aca="false">IF($L261="","",$L261+Einstellungen!$B$5)</f>
        <v/>
      </c>
      <c r="P261" s="16" t="str">
        <f aca="true">IF($B261="","",IF(OR($K261="Gewonnen",$K261="Verloren",$K261="Kein Interesse"),"abgeschlossen",IF(OR($K261="Neu",$K261="Recherchiert",$K261=""),"Erstkontakt vorbereiten",IF($K261="Kontaktiert",IF($L261="","Datum eintragen",IF(TODAY()&gt;=$O261,"Follow-up 3 fällig",IF(TODAY()&gt;=$N261,"Follow-up 2 fällig",IF(TODAY()&gt;=$M261,"Follow-up 1 fällig","warten")))),IF($K261="Antwort","Antworten",IF($K261="Gespräch","Nachbereiten",IF($K261="Angebot","Angebot nachfassen","")))))))</f>
        <v/>
      </c>
      <c r="Q261" s="17"/>
      <c r="R261" s="13"/>
    </row>
    <row r="262" customFormat="false" ht="15" hidden="false" customHeight="tru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3"/>
      <c r="K262" s="12"/>
      <c r="L262" s="14"/>
      <c r="M262" s="15" t="str">
        <f aca="false">IF($L262="","",$L262+Einstellungen!$B$3)</f>
        <v/>
      </c>
      <c r="N262" s="15" t="str">
        <f aca="false">IF($L262="","",$L262+Einstellungen!$B$4)</f>
        <v/>
      </c>
      <c r="O262" s="15" t="str">
        <f aca="false">IF($L262="","",$L262+Einstellungen!$B$5)</f>
        <v/>
      </c>
      <c r="P262" s="16" t="str">
        <f aca="true">IF($B262="","",IF(OR($K262="Gewonnen",$K262="Verloren",$K262="Kein Interesse"),"abgeschlossen",IF(OR($K262="Neu",$K262="Recherchiert",$K262=""),"Erstkontakt vorbereiten",IF($K262="Kontaktiert",IF($L262="","Datum eintragen",IF(TODAY()&gt;=$O262,"Follow-up 3 fällig",IF(TODAY()&gt;=$N262,"Follow-up 2 fällig",IF(TODAY()&gt;=$M262,"Follow-up 1 fällig","warten")))),IF($K262="Antwort","Antworten",IF($K262="Gespräch","Nachbereiten",IF($K262="Angebot","Angebot nachfassen","")))))))</f>
        <v/>
      </c>
      <c r="Q262" s="17"/>
      <c r="R262" s="13"/>
    </row>
    <row r="263" customFormat="false" ht="15" hidden="false" customHeight="tru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  <c r="J263" s="13"/>
      <c r="K263" s="12"/>
      <c r="L263" s="14"/>
      <c r="M263" s="15" t="str">
        <f aca="false">IF($L263="","",$L263+Einstellungen!$B$3)</f>
        <v/>
      </c>
      <c r="N263" s="15" t="str">
        <f aca="false">IF($L263="","",$L263+Einstellungen!$B$4)</f>
        <v/>
      </c>
      <c r="O263" s="15" t="str">
        <f aca="false">IF($L263="","",$L263+Einstellungen!$B$5)</f>
        <v/>
      </c>
      <c r="P263" s="16" t="str">
        <f aca="true">IF($B263="","",IF(OR($K263="Gewonnen",$K263="Verloren",$K263="Kein Interesse"),"abgeschlossen",IF(OR($K263="Neu",$K263="Recherchiert",$K263=""),"Erstkontakt vorbereiten",IF($K263="Kontaktiert",IF($L263="","Datum eintragen",IF(TODAY()&gt;=$O263,"Follow-up 3 fällig",IF(TODAY()&gt;=$N263,"Follow-up 2 fällig",IF(TODAY()&gt;=$M263,"Follow-up 1 fällig","warten")))),IF($K263="Antwort","Antworten",IF($K263="Gespräch","Nachbereiten",IF($K263="Angebot","Angebot nachfassen","")))))))</f>
        <v/>
      </c>
      <c r="Q263" s="17"/>
      <c r="R263" s="13"/>
    </row>
    <row r="264" customFormat="false" ht="15" hidden="false" customHeight="tru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  <c r="J264" s="13"/>
      <c r="K264" s="12"/>
      <c r="L264" s="14"/>
      <c r="M264" s="15" t="str">
        <f aca="false">IF($L264="","",$L264+Einstellungen!$B$3)</f>
        <v/>
      </c>
      <c r="N264" s="15" t="str">
        <f aca="false">IF($L264="","",$L264+Einstellungen!$B$4)</f>
        <v/>
      </c>
      <c r="O264" s="15" t="str">
        <f aca="false">IF($L264="","",$L264+Einstellungen!$B$5)</f>
        <v/>
      </c>
      <c r="P264" s="16" t="str">
        <f aca="true">IF($B264="","",IF(OR($K264="Gewonnen",$K264="Verloren",$K264="Kein Interesse"),"abgeschlossen",IF(OR($K264="Neu",$K264="Recherchiert",$K264=""),"Erstkontakt vorbereiten",IF($K264="Kontaktiert",IF($L264="","Datum eintragen",IF(TODAY()&gt;=$O264,"Follow-up 3 fällig",IF(TODAY()&gt;=$N264,"Follow-up 2 fällig",IF(TODAY()&gt;=$M264,"Follow-up 1 fällig","warten")))),IF($K264="Antwort","Antworten",IF($K264="Gespräch","Nachbereiten",IF($K264="Angebot","Angebot nachfassen","")))))))</f>
        <v/>
      </c>
      <c r="Q264" s="17"/>
      <c r="R264" s="13"/>
    </row>
    <row r="265" customFormat="false" ht="15" hidden="false" customHeight="tru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  <c r="J265" s="13"/>
      <c r="K265" s="12"/>
      <c r="L265" s="14"/>
      <c r="M265" s="15" t="str">
        <f aca="false">IF($L265="","",$L265+Einstellungen!$B$3)</f>
        <v/>
      </c>
      <c r="N265" s="15" t="str">
        <f aca="false">IF($L265="","",$L265+Einstellungen!$B$4)</f>
        <v/>
      </c>
      <c r="O265" s="15" t="str">
        <f aca="false">IF($L265="","",$L265+Einstellungen!$B$5)</f>
        <v/>
      </c>
      <c r="P265" s="16" t="str">
        <f aca="true">IF($B265="","",IF(OR($K265="Gewonnen",$K265="Verloren",$K265="Kein Interesse"),"abgeschlossen",IF(OR($K265="Neu",$K265="Recherchiert",$K265=""),"Erstkontakt vorbereiten",IF($K265="Kontaktiert",IF($L265="","Datum eintragen",IF(TODAY()&gt;=$O265,"Follow-up 3 fällig",IF(TODAY()&gt;=$N265,"Follow-up 2 fällig",IF(TODAY()&gt;=$M265,"Follow-up 1 fällig","warten")))),IF($K265="Antwort","Antworten",IF($K265="Gespräch","Nachbereiten",IF($K265="Angebot","Angebot nachfassen","")))))))</f>
        <v/>
      </c>
      <c r="Q265" s="17"/>
      <c r="R265" s="13"/>
    </row>
    <row r="266" customFormat="false" ht="15" hidden="false" customHeight="tru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  <c r="J266" s="13"/>
      <c r="K266" s="12"/>
      <c r="L266" s="14"/>
      <c r="M266" s="15" t="str">
        <f aca="false">IF($L266="","",$L266+Einstellungen!$B$3)</f>
        <v/>
      </c>
      <c r="N266" s="15" t="str">
        <f aca="false">IF($L266="","",$L266+Einstellungen!$B$4)</f>
        <v/>
      </c>
      <c r="O266" s="15" t="str">
        <f aca="false">IF($L266="","",$L266+Einstellungen!$B$5)</f>
        <v/>
      </c>
      <c r="P266" s="16" t="str">
        <f aca="true">IF($B266="","",IF(OR($K266="Gewonnen",$K266="Verloren",$K266="Kein Interesse"),"abgeschlossen",IF(OR($K266="Neu",$K266="Recherchiert",$K266=""),"Erstkontakt vorbereiten",IF($K266="Kontaktiert",IF($L266="","Datum eintragen",IF(TODAY()&gt;=$O266,"Follow-up 3 fällig",IF(TODAY()&gt;=$N266,"Follow-up 2 fällig",IF(TODAY()&gt;=$M266,"Follow-up 1 fällig","warten")))),IF($K266="Antwort","Antworten",IF($K266="Gespräch","Nachbereiten",IF($K266="Angebot","Angebot nachfassen","")))))))</f>
        <v/>
      </c>
      <c r="Q266" s="17"/>
      <c r="R266" s="13"/>
    </row>
    <row r="267" customFormat="false" ht="15" hidden="false" customHeight="tru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  <c r="J267" s="13"/>
      <c r="K267" s="12"/>
      <c r="L267" s="14"/>
      <c r="M267" s="15" t="str">
        <f aca="false">IF($L267="","",$L267+Einstellungen!$B$3)</f>
        <v/>
      </c>
      <c r="N267" s="15" t="str">
        <f aca="false">IF($L267="","",$L267+Einstellungen!$B$4)</f>
        <v/>
      </c>
      <c r="O267" s="15" t="str">
        <f aca="false">IF($L267="","",$L267+Einstellungen!$B$5)</f>
        <v/>
      </c>
      <c r="P267" s="16" t="str">
        <f aca="true">IF($B267="","",IF(OR($K267="Gewonnen",$K267="Verloren",$K267="Kein Interesse"),"abgeschlossen",IF(OR($K267="Neu",$K267="Recherchiert",$K267=""),"Erstkontakt vorbereiten",IF($K267="Kontaktiert",IF($L267="","Datum eintragen",IF(TODAY()&gt;=$O267,"Follow-up 3 fällig",IF(TODAY()&gt;=$N267,"Follow-up 2 fällig",IF(TODAY()&gt;=$M267,"Follow-up 1 fällig","warten")))),IF($K267="Antwort","Antworten",IF($K267="Gespräch","Nachbereiten",IF($K267="Angebot","Angebot nachfassen","")))))))</f>
        <v/>
      </c>
      <c r="Q267" s="17"/>
      <c r="R267" s="13"/>
    </row>
    <row r="268" customFormat="false" ht="15" hidden="false" customHeight="tru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  <c r="J268" s="13"/>
      <c r="K268" s="12"/>
      <c r="L268" s="14"/>
      <c r="M268" s="15" t="str">
        <f aca="false">IF($L268="","",$L268+Einstellungen!$B$3)</f>
        <v/>
      </c>
      <c r="N268" s="15" t="str">
        <f aca="false">IF($L268="","",$L268+Einstellungen!$B$4)</f>
        <v/>
      </c>
      <c r="O268" s="15" t="str">
        <f aca="false">IF($L268="","",$L268+Einstellungen!$B$5)</f>
        <v/>
      </c>
      <c r="P268" s="16" t="str">
        <f aca="true">IF($B268="","",IF(OR($K268="Gewonnen",$K268="Verloren",$K268="Kein Interesse"),"abgeschlossen",IF(OR($K268="Neu",$K268="Recherchiert",$K268=""),"Erstkontakt vorbereiten",IF($K268="Kontaktiert",IF($L268="","Datum eintragen",IF(TODAY()&gt;=$O268,"Follow-up 3 fällig",IF(TODAY()&gt;=$N268,"Follow-up 2 fällig",IF(TODAY()&gt;=$M268,"Follow-up 1 fällig","warten")))),IF($K268="Antwort","Antworten",IF($K268="Gespräch","Nachbereiten",IF($K268="Angebot","Angebot nachfassen","")))))))</f>
        <v/>
      </c>
      <c r="Q268" s="17"/>
      <c r="R268" s="13"/>
    </row>
    <row r="269" customFormat="false" ht="15" hidden="false" customHeight="tru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  <c r="J269" s="13"/>
      <c r="K269" s="12"/>
      <c r="L269" s="14"/>
      <c r="M269" s="15" t="str">
        <f aca="false">IF($L269="","",$L269+Einstellungen!$B$3)</f>
        <v/>
      </c>
      <c r="N269" s="15" t="str">
        <f aca="false">IF($L269="","",$L269+Einstellungen!$B$4)</f>
        <v/>
      </c>
      <c r="O269" s="15" t="str">
        <f aca="false">IF($L269="","",$L269+Einstellungen!$B$5)</f>
        <v/>
      </c>
      <c r="P269" s="16" t="str">
        <f aca="true">IF($B269="","",IF(OR($K269="Gewonnen",$K269="Verloren",$K269="Kein Interesse"),"abgeschlossen",IF(OR($K269="Neu",$K269="Recherchiert",$K269=""),"Erstkontakt vorbereiten",IF($K269="Kontaktiert",IF($L269="","Datum eintragen",IF(TODAY()&gt;=$O269,"Follow-up 3 fällig",IF(TODAY()&gt;=$N269,"Follow-up 2 fällig",IF(TODAY()&gt;=$M269,"Follow-up 1 fällig","warten")))),IF($K269="Antwort","Antworten",IF($K269="Gespräch","Nachbereiten",IF($K269="Angebot","Angebot nachfassen","")))))))</f>
        <v/>
      </c>
      <c r="Q269" s="17"/>
      <c r="R269" s="13"/>
    </row>
    <row r="270" customFormat="false" ht="15" hidden="false" customHeight="tru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  <c r="J270" s="13"/>
      <c r="K270" s="12"/>
      <c r="L270" s="14"/>
      <c r="M270" s="15" t="str">
        <f aca="false">IF($L270="","",$L270+Einstellungen!$B$3)</f>
        <v/>
      </c>
      <c r="N270" s="15" t="str">
        <f aca="false">IF($L270="","",$L270+Einstellungen!$B$4)</f>
        <v/>
      </c>
      <c r="O270" s="15" t="str">
        <f aca="false">IF($L270="","",$L270+Einstellungen!$B$5)</f>
        <v/>
      </c>
      <c r="P270" s="16" t="str">
        <f aca="true">IF($B270="","",IF(OR($K270="Gewonnen",$K270="Verloren",$K270="Kein Interesse"),"abgeschlossen",IF(OR($K270="Neu",$K270="Recherchiert",$K270=""),"Erstkontakt vorbereiten",IF($K270="Kontaktiert",IF($L270="","Datum eintragen",IF(TODAY()&gt;=$O270,"Follow-up 3 fällig",IF(TODAY()&gt;=$N270,"Follow-up 2 fällig",IF(TODAY()&gt;=$M270,"Follow-up 1 fällig","warten")))),IF($K270="Antwort","Antworten",IF($K270="Gespräch","Nachbereiten",IF($K270="Angebot","Angebot nachfassen","")))))))</f>
        <v/>
      </c>
      <c r="Q270" s="17"/>
      <c r="R270" s="13"/>
    </row>
    <row r="271" customFormat="false" ht="15" hidden="false" customHeight="tru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3"/>
      <c r="K271" s="12"/>
      <c r="L271" s="14"/>
      <c r="M271" s="15" t="str">
        <f aca="false">IF($L271="","",$L271+Einstellungen!$B$3)</f>
        <v/>
      </c>
      <c r="N271" s="15" t="str">
        <f aca="false">IF($L271="","",$L271+Einstellungen!$B$4)</f>
        <v/>
      </c>
      <c r="O271" s="15" t="str">
        <f aca="false">IF($L271="","",$L271+Einstellungen!$B$5)</f>
        <v/>
      </c>
      <c r="P271" s="16" t="str">
        <f aca="true">IF($B271="","",IF(OR($K271="Gewonnen",$K271="Verloren",$K271="Kein Interesse"),"abgeschlossen",IF(OR($K271="Neu",$K271="Recherchiert",$K271=""),"Erstkontakt vorbereiten",IF($K271="Kontaktiert",IF($L271="","Datum eintragen",IF(TODAY()&gt;=$O271,"Follow-up 3 fällig",IF(TODAY()&gt;=$N271,"Follow-up 2 fällig",IF(TODAY()&gt;=$M271,"Follow-up 1 fällig","warten")))),IF($K271="Antwort","Antworten",IF($K271="Gespräch","Nachbereiten",IF($K271="Angebot","Angebot nachfassen","")))))))</f>
        <v/>
      </c>
      <c r="Q271" s="17"/>
      <c r="R271" s="13"/>
    </row>
    <row r="272" customFormat="false" ht="15" hidden="false" customHeight="tru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  <c r="J272" s="13"/>
      <c r="K272" s="12"/>
      <c r="L272" s="14"/>
      <c r="M272" s="15" t="str">
        <f aca="false">IF($L272="","",$L272+Einstellungen!$B$3)</f>
        <v/>
      </c>
      <c r="N272" s="15" t="str">
        <f aca="false">IF($L272="","",$L272+Einstellungen!$B$4)</f>
        <v/>
      </c>
      <c r="O272" s="15" t="str">
        <f aca="false">IF($L272="","",$L272+Einstellungen!$B$5)</f>
        <v/>
      </c>
      <c r="P272" s="16" t="str">
        <f aca="true">IF($B272="","",IF(OR($K272="Gewonnen",$K272="Verloren",$K272="Kein Interesse"),"abgeschlossen",IF(OR($K272="Neu",$K272="Recherchiert",$K272=""),"Erstkontakt vorbereiten",IF($K272="Kontaktiert",IF($L272="","Datum eintragen",IF(TODAY()&gt;=$O272,"Follow-up 3 fällig",IF(TODAY()&gt;=$N272,"Follow-up 2 fällig",IF(TODAY()&gt;=$M272,"Follow-up 1 fällig","warten")))),IF($K272="Antwort","Antworten",IF($K272="Gespräch","Nachbereiten",IF($K272="Angebot","Angebot nachfassen","")))))))</f>
        <v/>
      </c>
      <c r="Q272" s="17"/>
      <c r="R272" s="13"/>
    </row>
    <row r="273" customFormat="false" ht="15" hidden="false" customHeight="tru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  <c r="J273" s="13"/>
      <c r="K273" s="12"/>
      <c r="L273" s="14"/>
      <c r="M273" s="15" t="str">
        <f aca="false">IF($L273="","",$L273+Einstellungen!$B$3)</f>
        <v/>
      </c>
      <c r="N273" s="15" t="str">
        <f aca="false">IF($L273="","",$L273+Einstellungen!$B$4)</f>
        <v/>
      </c>
      <c r="O273" s="15" t="str">
        <f aca="false">IF($L273="","",$L273+Einstellungen!$B$5)</f>
        <v/>
      </c>
      <c r="P273" s="16" t="str">
        <f aca="true">IF($B273="","",IF(OR($K273="Gewonnen",$K273="Verloren",$K273="Kein Interesse"),"abgeschlossen",IF(OR($K273="Neu",$K273="Recherchiert",$K273=""),"Erstkontakt vorbereiten",IF($K273="Kontaktiert",IF($L273="","Datum eintragen",IF(TODAY()&gt;=$O273,"Follow-up 3 fällig",IF(TODAY()&gt;=$N273,"Follow-up 2 fällig",IF(TODAY()&gt;=$M273,"Follow-up 1 fällig","warten")))),IF($K273="Antwort","Antworten",IF($K273="Gespräch","Nachbereiten",IF($K273="Angebot","Angebot nachfassen","")))))))</f>
        <v/>
      </c>
      <c r="Q273" s="17"/>
      <c r="R273" s="13"/>
    </row>
    <row r="274" customFormat="false" ht="15" hidden="false" customHeight="tru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  <c r="J274" s="13"/>
      <c r="K274" s="12"/>
      <c r="L274" s="14"/>
      <c r="M274" s="15" t="str">
        <f aca="false">IF($L274="","",$L274+Einstellungen!$B$3)</f>
        <v/>
      </c>
      <c r="N274" s="15" t="str">
        <f aca="false">IF($L274="","",$L274+Einstellungen!$B$4)</f>
        <v/>
      </c>
      <c r="O274" s="15" t="str">
        <f aca="false">IF($L274="","",$L274+Einstellungen!$B$5)</f>
        <v/>
      </c>
      <c r="P274" s="16" t="str">
        <f aca="true">IF($B274="","",IF(OR($K274="Gewonnen",$K274="Verloren",$K274="Kein Interesse"),"abgeschlossen",IF(OR($K274="Neu",$K274="Recherchiert",$K274=""),"Erstkontakt vorbereiten",IF($K274="Kontaktiert",IF($L274="","Datum eintragen",IF(TODAY()&gt;=$O274,"Follow-up 3 fällig",IF(TODAY()&gt;=$N274,"Follow-up 2 fällig",IF(TODAY()&gt;=$M274,"Follow-up 1 fällig","warten")))),IF($K274="Antwort","Antworten",IF($K274="Gespräch","Nachbereiten",IF($K274="Angebot","Angebot nachfassen","")))))))</f>
        <v/>
      </c>
      <c r="Q274" s="17"/>
      <c r="R274" s="13"/>
    </row>
    <row r="275" customFormat="false" ht="15" hidden="false" customHeight="tru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  <c r="J275" s="13"/>
      <c r="K275" s="12"/>
      <c r="L275" s="14"/>
      <c r="M275" s="15" t="str">
        <f aca="false">IF($L275="","",$L275+Einstellungen!$B$3)</f>
        <v/>
      </c>
      <c r="N275" s="15" t="str">
        <f aca="false">IF($L275="","",$L275+Einstellungen!$B$4)</f>
        <v/>
      </c>
      <c r="O275" s="15" t="str">
        <f aca="false">IF($L275="","",$L275+Einstellungen!$B$5)</f>
        <v/>
      </c>
      <c r="P275" s="16" t="str">
        <f aca="true">IF($B275="","",IF(OR($K275="Gewonnen",$K275="Verloren",$K275="Kein Interesse"),"abgeschlossen",IF(OR($K275="Neu",$K275="Recherchiert",$K275=""),"Erstkontakt vorbereiten",IF($K275="Kontaktiert",IF($L275="","Datum eintragen",IF(TODAY()&gt;=$O275,"Follow-up 3 fällig",IF(TODAY()&gt;=$N275,"Follow-up 2 fällig",IF(TODAY()&gt;=$M275,"Follow-up 1 fällig","warten")))),IF($K275="Antwort","Antworten",IF($K275="Gespräch","Nachbereiten",IF($K275="Angebot","Angebot nachfassen","")))))))</f>
        <v/>
      </c>
      <c r="Q275" s="17"/>
      <c r="R275" s="13"/>
    </row>
    <row r="276" customFormat="false" ht="15" hidden="false" customHeight="tru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  <c r="J276" s="13"/>
      <c r="K276" s="12"/>
      <c r="L276" s="14"/>
      <c r="M276" s="15" t="str">
        <f aca="false">IF($L276="","",$L276+Einstellungen!$B$3)</f>
        <v/>
      </c>
      <c r="N276" s="15" t="str">
        <f aca="false">IF($L276="","",$L276+Einstellungen!$B$4)</f>
        <v/>
      </c>
      <c r="O276" s="15" t="str">
        <f aca="false">IF($L276="","",$L276+Einstellungen!$B$5)</f>
        <v/>
      </c>
      <c r="P276" s="16" t="str">
        <f aca="true">IF($B276="","",IF(OR($K276="Gewonnen",$K276="Verloren",$K276="Kein Interesse"),"abgeschlossen",IF(OR($K276="Neu",$K276="Recherchiert",$K276=""),"Erstkontakt vorbereiten",IF($K276="Kontaktiert",IF($L276="","Datum eintragen",IF(TODAY()&gt;=$O276,"Follow-up 3 fällig",IF(TODAY()&gt;=$N276,"Follow-up 2 fällig",IF(TODAY()&gt;=$M276,"Follow-up 1 fällig","warten")))),IF($K276="Antwort","Antworten",IF($K276="Gespräch","Nachbereiten",IF($K276="Angebot","Angebot nachfassen","")))))))</f>
        <v/>
      </c>
      <c r="Q276" s="17"/>
      <c r="R276" s="13"/>
    </row>
    <row r="277" customFormat="false" ht="15" hidden="false" customHeight="tru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  <c r="J277" s="13"/>
      <c r="K277" s="12"/>
      <c r="L277" s="14"/>
      <c r="M277" s="15" t="str">
        <f aca="false">IF($L277="","",$L277+Einstellungen!$B$3)</f>
        <v/>
      </c>
      <c r="N277" s="15" t="str">
        <f aca="false">IF($L277="","",$L277+Einstellungen!$B$4)</f>
        <v/>
      </c>
      <c r="O277" s="15" t="str">
        <f aca="false">IF($L277="","",$L277+Einstellungen!$B$5)</f>
        <v/>
      </c>
      <c r="P277" s="16" t="str">
        <f aca="true">IF($B277="","",IF(OR($K277="Gewonnen",$K277="Verloren",$K277="Kein Interesse"),"abgeschlossen",IF(OR($K277="Neu",$K277="Recherchiert",$K277=""),"Erstkontakt vorbereiten",IF($K277="Kontaktiert",IF($L277="","Datum eintragen",IF(TODAY()&gt;=$O277,"Follow-up 3 fällig",IF(TODAY()&gt;=$N277,"Follow-up 2 fällig",IF(TODAY()&gt;=$M277,"Follow-up 1 fällig","warten")))),IF($K277="Antwort","Antworten",IF($K277="Gespräch","Nachbereiten",IF($K277="Angebot","Angebot nachfassen","")))))))</f>
        <v/>
      </c>
      <c r="Q277" s="17"/>
      <c r="R277" s="13"/>
    </row>
    <row r="278" customFormat="false" ht="15" hidden="false" customHeight="tru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  <c r="J278" s="13"/>
      <c r="K278" s="12"/>
      <c r="L278" s="14"/>
      <c r="M278" s="15" t="str">
        <f aca="false">IF($L278="","",$L278+Einstellungen!$B$3)</f>
        <v/>
      </c>
      <c r="N278" s="15" t="str">
        <f aca="false">IF($L278="","",$L278+Einstellungen!$B$4)</f>
        <v/>
      </c>
      <c r="O278" s="15" t="str">
        <f aca="false">IF($L278="","",$L278+Einstellungen!$B$5)</f>
        <v/>
      </c>
      <c r="P278" s="16" t="str">
        <f aca="true">IF($B278="","",IF(OR($K278="Gewonnen",$K278="Verloren",$K278="Kein Interesse"),"abgeschlossen",IF(OR($K278="Neu",$K278="Recherchiert",$K278=""),"Erstkontakt vorbereiten",IF($K278="Kontaktiert",IF($L278="","Datum eintragen",IF(TODAY()&gt;=$O278,"Follow-up 3 fällig",IF(TODAY()&gt;=$N278,"Follow-up 2 fällig",IF(TODAY()&gt;=$M278,"Follow-up 1 fällig","warten")))),IF($K278="Antwort","Antworten",IF($K278="Gespräch","Nachbereiten",IF($K278="Angebot","Angebot nachfassen","")))))))</f>
        <v/>
      </c>
      <c r="Q278" s="17"/>
      <c r="R278" s="13"/>
    </row>
    <row r="279" customFormat="false" ht="15" hidden="false" customHeight="tru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  <c r="J279" s="13"/>
      <c r="K279" s="12"/>
      <c r="L279" s="14"/>
      <c r="M279" s="15" t="str">
        <f aca="false">IF($L279="","",$L279+Einstellungen!$B$3)</f>
        <v/>
      </c>
      <c r="N279" s="15" t="str">
        <f aca="false">IF($L279="","",$L279+Einstellungen!$B$4)</f>
        <v/>
      </c>
      <c r="O279" s="15" t="str">
        <f aca="false">IF($L279="","",$L279+Einstellungen!$B$5)</f>
        <v/>
      </c>
      <c r="P279" s="16" t="str">
        <f aca="true">IF($B279="","",IF(OR($K279="Gewonnen",$K279="Verloren",$K279="Kein Interesse"),"abgeschlossen",IF(OR($K279="Neu",$K279="Recherchiert",$K279=""),"Erstkontakt vorbereiten",IF($K279="Kontaktiert",IF($L279="","Datum eintragen",IF(TODAY()&gt;=$O279,"Follow-up 3 fällig",IF(TODAY()&gt;=$N279,"Follow-up 2 fällig",IF(TODAY()&gt;=$M279,"Follow-up 1 fällig","warten")))),IF($K279="Antwort","Antworten",IF($K279="Gespräch","Nachbereiten",IF($K279="Angebot","Angebot nachfassen","")))))))</f>
        <v/>
      </c>
      <c r="Q279" s="17"/>
      <c r="R279" s="13"/>
    </row>
    <row r="280" customFormat="false" ht="15" hidden="false" customHeight="tru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3"/>
      <c r="K280" s="12"/>
      <c r="L280" s="14"/>
      <c r="M280" s="15" t="str">
        <f aca="false">IF($L280="","",$L280+Einstellungen!$B$3)</f>
        <v/>
      </c>
      <c r="N280" s="15" t="str">
        <f aca="false">IF($L280="","",$L280+Einstellungen!$B$4)</f>
        <v/>
      </c>
      <c r="O280" s="15" t="str">
        <f aca="false">IF($L280="","",$L280+Einstellungen!$B$5)</f>
        <v/>
      </c>
      <c r="P280" s="16" t="str">
        <f aca="true">IF($B280="","",IF(OR($K280="Gewonnen",$K280="Verloren",$K280="Kein Interesse"),"abgeschlossen",IF(OR($K280="Neu",$K280="Recherchiert",$K280=""),"Erstkontakt vorbereiten",IF($K280="Kontaktiert",IF($L280="","Datum eintragen",IF(TODAY()&gt;=$O280,"Follow-up 3 fällig",IF(TODAY()&gt;=$N280,"Follow-up 2 fällig",IF(TODAY()&gt;=$M280,"Follow-up 1 fällig","warten")))),IF($K280="Antwort","Antworten",IF($K280="Gespräch","Nachbereiten",IF($K280="Angebot","Angebot nachfassen","")))))))</f>
        <v/>
      </c>
      <c r="Q280" s="17"/>
      <c r="R280" s="13"/>
    </row>
    <row r="281" customFormat="false" ht="15" hidden="false" customHeight="tru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3"/>
      <c r="K281" s="12"/>
      <c r="L281" s="14"/>
      <c r="M281" s="15" t="str">
        <f aca="false">IF($L281="","",$L281+Einstellungen!$B$3)</f>
        <v/>
      </c>
      <c r="N281" s="15" t="str">
        <f aca="false">IF($L281="","",$L281+Einstellungen!$B$4)</f>
        <v/>
      </c>
      <c r="O281" s="15" t="str">
        <f aca="false">IF($L281="","",$L281+Einstellungen!$B$5)</f>
        <v/>
      </c>
      <c r="P281" s="16" t="str">
        <f aca="true">IF($B281="","",IF(OR($K281="Gewonnen",$K281="Verloren",$K281="Kein Interesse"),"abgeschlossen",IF(OR($K281="Neu",$K281="Recherchiert",$K281=""),"Erstkontakt vorbereiten",IF($K281="Kontaktiert",IF($L281="","Datum eintragen",IF(TODAY()&gt;=$O281,"Follow-up 3 fällig",IF(TODAY()&gt;=$N281,"Follow-up 2 fällig",IF(TODAY()&gt;=$M281,"Follow-up 1 fällig","warten")))),IF($K281="Antwort","Antworten",IF($K281="Gespräch","Nachbereiten",IF($K281="Angebot","Angebot nachfassen","")))))))</f>
        <v/>
      </c>
      <c r="Q281" s="17"/>
      <c r="R281" s="13"/>
    </row>
    <row r="282" customFormat="false" ht="15" hidden="false" customHeight="tru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3"/>
      <c r="K282" s="12"/>
      <c r="L282" s="14"/>
      <c r="M282" s="15" t="str">
        <f aca="false">IF($L282="","",$L282+Einstellungen!$B$3)</f>
        <v/>
      </c>
      <c r="N282" s="15" t="str">
        <f aca="false">IF($L282="","",$L282+Einstellungen!$B$4)</f>
        <v/>
      </c>
      <c r="O282" s="15" t="str">
        <f aca="false">IF($L282="","",$L282+Einstellungen!$B$5)</f>
        <v/>
      </c>
      <c r="P282" s="16" t="str">
        <f aca="true">IF($B282="","",IF(OR($K282="Gewonnen",$K282="Verloren",$K282="Kein Interesse"),"abgeschlossen",IF(OR($K282="Neu",$K282="Recherchiert",$K282=""),"Erstkontakt vorbereiten",IF($K282="Kontaktiert",IF($L282="","Datum eintragen",IF(TODAY()&gt;=$O282,"Follow-up 3 fällig",IF(TODAY()&gt;=$N282,"Follow-up 2 fällig",IF(TODAY()&gt;=$M282,"Follow-up 1 fällig","warten")))),IF($K282="Antwort","Antworten",IF($K282="Gespräch","Nachbereiten",IF($K282="Angebot","Angebot nachfassen","")))))))</f>
        <v/>
      </c>
      <c r="Q282" s="17"/>
      <c r="R282" s="13"/>
    </row>
    <row r="283" customFormat="false" ht="15" hidden="false" customHeight="tru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3"/>
      <c r="K283" s="12"/>
      <c r="L283" s="14"/>
      <c r="M283" s="15" t="str">
        <f aca="false">IF($L283="","",$L283+Einstellungen!$B$3)</f>
        <v/>
      </c>
      <c r="N283" s="15" t="str">
        <f aca="false">IF($L283="","",$L283+Einstellungen!$B$4)</f>
        <v/>
      </c>
      <c r="O283" s="15" t="str">
        <f aca="false">IF($L283="","",$L283+Einstellungen!$B$5)</f>
        <v/>
      </c>
      <c r="P283" s="16" t="str">
        <f aca="true">IF($B283="","",IF(OR($K283="Gewonnen",$K283="Verloren",$K283="Kein Interesse"),"abgeschlossen",IF(OR($K283="Neu",$K283="Recherchiert",$K283=""),"Erstkontakt vorbereiten",IF($K283="Kontaktiert",IF($L283="","Datum eintragen",IF(TODAY()&gt;=$O283,"Follow-up 3 fällig",IF(TODAY()&gt;=$N283,"Follow-up 2 fällig",IF(TODAY()&gt;=$M283,"Follow-up 1 fällig","warten")))),IF($K283="Antwort","Antworten",IF($K283="Gespräch","Nachbereiten",IF($K283="Angebot","Angebot nachfassen","")))))))</f>
        <v/>
      </c>
      <c r="Q283" s="17"/>
      <c r="R283" s="13"/>
    </row>
    <row r="284" customFormat="false" ht="15" hidden="false" customHeight="tru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3"/>
      <c r="K284" s="12"/>
      <c r="L284" s="14"/>
      <c r="M284" s="15" t="str">
        <f aca="false">IF($L284="","",$L284+Einstellungen!$B$3)</f>
        <v/>
      </c>
      <c r="N284" s="15" t="str">
        <f aca="false">IF($L284="","",$L284+Einstellungen!$B$4)</f>
        <v/>
      </c>
      <c r="O284" s="15" t="str">
        <f aca="false">IF($L284="","",$L284+Einstellungen!$B$5)</f>
        <v/>
      </c>
      <c r="P284" s="16" t="str">
        <f aca="true">IF($B284="","",IF(OR($K284="Gewonnen",$K284="Verloren",$K284="Kein Interesse"),"abgeschlossen",IF(OR($K284="Neu",$K284="Recherchiert",$K284=""),"Erstkontakt vorbereiten",IF($K284="Kontaktiert",IF($L284="","Datum eintragen",IF(TODAY()&gt;=$O284,"Follow-up 3 fällig",IF(TODAY()&gt;=$N284,"Follow-up 2 fällig",IF(TODAY()&gt;=$M284,"Follow-up 1 fällig","warten")))),IF($K284="Antwort","Antworten",IF($K284="Gespräch","Nachbereiten",IF($K284="Angebot","Angebot nachfassen","")))))))</f>
        <v/>
      </c>
      <c r="Q284" s="17"/>
      <c r="R284" s="13"/>
    </row>
    <row r="285" customFormat="false" ht="15" hidden="false" customHeight="tru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3"/>
      <c r="K285" s="12"/>
      <c r="L285" s="14"/>
      <c r="M285" s="15" t="str">
        <f aca="false">IF($L285="","",$L285+Einstellungen!$B$3)</f>
        <v/>
      </c>
      <c r="N285" s="15" t="str">
        <f aca="false">IF($L285="","",$L285+Einstellungen!$B$4)</f>
        <v/>
      </c>
      <c r="O285" s="15" t="str">
        <f aca="false">IF($L285="","",$L285+Einstellungen!$B$5)</f>
        <v/>
      </c>
      <c r="P285" s="16" t="str">
        <f aca="true">IF($B285="","",IF(OR($K285="Gewonnen",$K285="Verloren",$K285="Kein Interesse"),"abgeschlossen",IF(OR($K285="Neu",$K285="Recherchiert",$K285=""),"Erstkontakt vorbereiten",IF($K285="Kontaktiert",IF($L285="","Datum eintragen",IF(TODAY()&gt;=$O285,"Follow-up 3 fällig",IF(TODAY()&gt;=$N285,"Follow-up 2 fällig",IF(TODAY()&gt;=$M285,"Follow-up 1 fällig","warten")))),IF($K285="Antwort","Antworten",IF($K285="Gespräch","Nachbereiten",IF($K285="Angebot","Angebot nachfassen","")))))))</f>
        <v/>
      </c>
      <c r="Q285" s="17"/>
      <c r="R285" s="13"/>
    </row>
    <row r="286" customFormat="false" ht="15" hidden="false" customHeight="tru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3"/>
      <c r="K286" s="12"/>
      <c r="L286" s="14"/>
      <c r="M286" s="15" t="str">
        <f aca="false">IF($L286="","",$L286+Einstellungen!$B$3)</f>
        <v/>
      </c>
      <c r="N286" s="15" t="str">
        <f aca="false">IF($L286="","",$L286+Einstellungen!$B$4)</f>
        <v/>
      </c>
      <c r="O286" s="15" t="str">
        <f aca="false">IF($L286="","",$L286+Einstellungen!$B$5)</f>
        <v/>
      </c>
      <c r="P286" s="16" t="str">
        <f aca="true">IF($B286="","",IF(OR($K286="Gewonnen",$K286="Verloren",$K286="Kein Interesse"),"abgeschlossen",IF(OR($K286="Neu",$K286="Recherchiert",$K286=""),"Erstkontakt vorbereiten",IF($K286="Kontaktiert",IF($L286="","Datum eintragen",IF(TODAY()&gt;=$O286,"Follow-up 3 fällig",IF(TODAY()&gt;=$N286,"Follow-up 2 fällig",IF(TODAY()&gt;=$M286,"Follow-up 1 fällig","warten")))),IF($K286="Antwort","Antworten",IF($K286="Gespräch","Nachbereiten",IF($K286="Angebot","Angebot nachfassen","")))))))</f>
        <v/>
      </c>
      <c r="Q286" s="17"/>
      <c r="R286" s="13"/>
    </row>
    <row r="287" customFormat="false" ht="15" hidden="false" customHeight="tru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3"/>
      <c r="K287" s="12"/>
      <c r="L287" s="14"/>
      <c r="M287" s="15" t="str">
        <f aca="false">IF($L287="","",$L287+Einstellungen!$B$3)</f>
        <v/>
      </c>
      <c r="N287" s="15" t="str">
        <f aca="false">IF($L287="","",$L287+Einstellungen!$B$4)</f>
        <v/>
      </c>
      <c r="O287" s="15" t="str">
        <f aca="false">IF($L287="","",$L287+Einstellungen!$B$5)</f>
        <v/>
      </c>
      <c r="P287" s="16" t="str">
        <f aca="true">IF($B287="","",IF(OR($K287="Gewonnen",$K287="Verloren",$K287="Kein Interesse"),"abgeschlossen",IF(OR($K287="Neu",$K287="Recherchiert",$K287=""),"Erstkontakt vorbereiten",IF($K287="Kontaktiert",IF($L287="","Datum eintragen",IF(TODAY()&gt;=$O287,"Follow-up 3 fällig",IF(TODAY()&gt;=$N287,"Follow-up 2 fällig",IF(TODAY()&gt;=$M287,"Follow-up 1 fällig","warten")))),IF($K287="Antwort","Antworten",IF($K287="Gespräch","Nachbereiten",IF($K287="Angebot","Angebot nachfassen","")))))))</f>
        <v/>
      </c>
      <c r="Q287" s="17"/>
      <c r="R287" s="13"/>
    </row>
    <row r="288" customFormat="false" ht="15" hidden="false" customHeight="tru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3"/>
      <c r="K288" s="12"/>
      <c r="L288" s="14"/>
      <c r="M288" s="15" t="str">
        <f aca="false">IF($L288="","",$L288+Einstellungen!$B$3)</f>
        <v/>
      </c>
      <c r="N288" s="15" t="str">
        <f aca="false">IF($L288="","",$L288+Einstellungen!$B$4)</f>
        <v/>
      </c>
      <c r="O288" s="15" t="str">
        <f aca="false">IF($L288="","",$L288+Einstellungen!$B$5)</f>
        <v/>
      </c>
      <c r="P288" s="16" t="str">
        <f aca="true">IF($B288="","",IF(OR($K288="Gewonnen",$K288="Verloren",$K288="Kein Interesse"),"abgeschlossen",IF(OR($K288="Neu",$K288="Recherchiert",$K288=""),"Erstkontakt vorbereiten",IF($K288="Kontaktiert",IF($L288="","Datum eintragen",IF(TODAY()&gt;=$O288,"Follow-up 3 fällig",IF(TODAY()&gt;=$N288,"Follow-up 2 fällig",IF(TODAY()&gt;=$M288,"Follow-up 1 fällig","warten")))),IF($K288="Antwort","Antworten",IF($K288="Gespräch","Nachbereiten",IF($K288="Angebot","Angebot nachfassen","")))))))</f>
        <v/>
      </c>
      <c r="Q288" s="17"/>
      <c r="R288" s="13"/>
    </row>
    <row r="289" customFormat="false" ht="15" hidden="false" customHeight="tru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3"/>
      <c r="K289" s="12"/>
      <c r="L289" s="14"/>
      <c r="M289" s="15" t="str">
        <f aca="false">IF($L289="","",$L289+Einstellungen!$B$3)</f>
        <v/>
      </c>
      <c r="N289" s="15" t="str">
        <f aca="false">IF($L289="","",$L289+Einstellungen!$B$4)</f>
        <v/>
      </c>
      <c r="O289" s="15" t="str">
        <f aca="false">IF($L289="","",$L289+Einstellungen!$B$5)</f>
        <v/>
      </c>
      <c r="P289" s="16" t="str">
        <f aca="true">IF($B289="","",IF(OR($K289="Gewonnen",$K289="Verloren",$K289="Kein Interesse"),"abgeschlossen",IF(OR($K289="Neu",$K289="Recherchiert",$K289=""),"Erstkontakt vorbereiten",IF($K289="Kontaktiert",IF($L289="","Datum eintragen",IF(TODAY()&gt;=$O289,"Follow-up 3 fällig",IF(TODAY()&gt;=$N289,"Follow-up 2 fällig",IF(TODAY()&gt;=$M289,"Follow-up 1 fällig","warten")))),IF($K289="Antwort","Antworten",IF($K289="Gespräch","Nachbereiten",IF($K289="Angebot","Angebot nachfassen","")))))))</f>
        <v/>
      </c>
      <c r="Q289" s="17"/>
      <c r="R289" s="13"/>
    </row>
    <row r="290" customFormat="false" ht="15" hidden="false" customHeight="tru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3"/>
      <c r="K290" s="12"/>
      <c r="L290" s="14"/>
      <c r="M290" s="15" t="str">
        <f aca="false">IF($L290="","",$L290+Einstellungen!$B$3)</f>
        <v/>
      </c>
      <c r="N290" s="15" t="str">
        <f aca="false">IF($L290="","",$L290+Einstellungen!$B$4)</f>
        <v/>
      </c>
      <c r="O290" s="15" t="str">
        <f aca="false">IF($L290="","",$L290+Einstellungen!$B$5)</f>
        <v/>
      </c>
      <c r="P290" s="16" t="str">
        <f aca="true">IF($B290="","",IF(OR($K290="Gewonnen",$K290="Verloren",$K290="Kein Interesse"),"abgeschlossen",IF(OR($K290="Neu",$K290="Recherchiert",$K290=""),"Erstkontakt vorbereiten",IF($K290="Kontaktiert",IF($L290="","Datum eintragen",IF(TODAY()&gt;=$O290,"Follow-up 3 fällig",IF(TODAY()&gt;=$N290,"Follow-up 2 fällig",IF(TODAY()&gt;=$M290,"Follow-up 1 fällig","warten")))),IF($K290="Antwort","Antworten",IF($K290="Gespräch","Nachbereiten",IF($K290="Angebot","Angebot nachfassen","")))))))</f>
        <v/>
      </c>
      <c r="Q290" s="17"/>
      <c r="R290" s="13"/>
    </row>
    <row r="291" customFormat="false" ht="15" hidden="false" customHeight="tru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3"/>
      <c r="K291" s="12"/>
      <c r="L291" s="14"/>
      <c r="M291" s="15" t="str">
        <f aca="false">IF($L291="","",$L291+Einstellungen!$B$3)</f>
        <v/>
      </c>
      <c r="N291" s="15" t="str">
        <f aca="false">IF($L291="","",$L291+Einstellungen!$B$4)</f>
        <v/>
      </c>
      <c r="O291" s="15" t="str">
        <f aca="false">IF($L291="","",$L291+Einstellungen!$B$5)</f>
        <v/>
      </c>
      <c r="P291" s="16" t="str">
        <f aca="true">IF($B291="","",IF(OR($K291="Gewonnen",$K291="Verloren",$K291="Kein Interesse"),"abgeschlossen",IF(OR($K291="Neu",$K291="Recherchiert",$K291=""),"Erstkontakt vorbereiten",IF($K291="Kontaktiert",IF($L291="","Datum eintragen",IF(TODAY()&gt;=$O291,"Follow-up 3 fällig",IF(TODAY()&gt;=$N291,"Follow-up 2 fällig",IF(TODAY()&gt;=$M291,"Follow-up 1 fällig","warten")))),IF($K291="Antwort","Antworten",IF($K291="Gespräch","Nachbereiten",IF($K291="Angebot","Angebot nachfassen","")))))))</f>
        <v/>
      </c>
      <c r="Q291" s="17"/>
      <c r="R291" s="13"/>
    </row>
    <row r="292" customFormat="false" ht="15" hidden="false" customHeight="tru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3"/>
      <c r="K292" s="12"/>
      <c r="L292" s="14"/>
      <c r="M292" s="15" t="str">
        <f aca="false">IF($L292="","",$L292+Einstellungen!$B$3)</f>
        <v/>
      </c>
      <c r="N292" s="15" t="str">
        <f aca="false">IF($L292="","",$L292+Einstellungen!$B$4)</f>
        <v/>
      </c>
      <c r="O292" s="15" t="str">
        <f aca="false">IF($L292="","",$L292+Einstellungen!$B$5)</f>
        <v/>
      </c>
      <c r="P292" s="16" t="str">
        <f aca="true">IF($B292="","",IF(OR($K292="Gewonnen",$K292="Verloren",$K292="Kein Interesse"),"abgeschlossen",IF(OR($K292="Neu",$K292="Recherchiert",$K292=""),"Erstkontakt vorbereiten",IF($K292="Kontaktiert",IF($L292="","Datum eintragen",IF(TODAY()&gt;=$O292,"Follow-up 3 fällig",IF(TODAY()&gt;=$N292,"Follow-up 2 fällig",IF(TODAY()&gt;=$M292,"Follow-up 1 fällig","warten")))),IF($K292="Antwort","Antworten",IF($K292="Gespräch","Nachbereiten",IF($K292="Angebot","Angebot nachfassen","")))))))</f>
        <v/>
      </c>
      <c r="Q292" s="17"/>
      <c r="R292" s="13"/>
    </row>
    <row r="293" customFormat="false" ht="15" hidden="false" customHeight="tru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3"/>
      <c r="K293" s="12"/>
      <c r="L293" s="14"/>
      <c r="M293" s="15" t="str">
        <f aca="false">IF($L293="","",$L293+Einstellungen!$B$3)</f>
        <v/>
      </c>
      <c r="N293" s="15" t="str">
        <f aca="false">IF($L293="","",$L293+Einstellungen!$B$4)</f>
        <v/>
      </c>
      <c r="O293" s="15" t="str">
        <f aca="false">IF($L293="","",$L293+Einstellungen!$B$5)</f>
        <v/>
      </c>
      <c r="P293" s="16" t="str">
        <f aca="true">IF($B293="","",IF(OR($K293="Gewonnen",$K293="Verloren",$K293="Kein Interesse"),"abgeschlossen",IF(OR($K293="Neu",$K293="Recherchiert",$K293=""),"Erstkontakt vorbereiten",IF($K293="Kontaktiert",IF($L293="","Datum eintragen",IF(TODAY()&gt;=$O293,"Follow-up 3 fällig",IF(TODAY()&gt;=$N293,"Follow-up 2 fällig",IF(TODAY()&gt;=$M293,"Follow-up 1 fällig","warten")))),IF($K293="Antwort","Antworten",IF($K293="Gespräch","Nachbereiten",IF($K293="Angebot","Angebot nachfassen","")))))))</f>
        <v/>
      </c>
      <c r="Q293" s="17"/>
      <c r="R293" s="13"/>
    </row>
    <row r="294" customFormat="false" ht="15" hidden="false" customHeight="tru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3"/>
      <c r="K294" s="12"/>
      <c r="L294" s="14"/>
      <c r="M294" s="15" t="str">
        <f aca="false">IF($L294="","",$L294+Einstellungen!$B$3)</f>
        <v/>
      </c>
      <c r="N294" s="15" t="str">
        <f aca="false">IF($L294="","",$L294+Einstellungen!$B$4)</f>
        <v/>
      </c>
      <c r="O294" s="15" t="str">
        <f aca="false">IF($L294="","",$L294+Einstellungen!$B$5)</f>
        <v/>
      </c>
      <c r="P294" s="16" t="str">
        <f aca="true">IF($B294="","",IF(OR($K294="Gewonnen",$K294="Verloren",$K294="Kein Interesse"),"abgeschlossen",IF(OR($K294="Neu",$K294="Recherchiert",$K294=""),"Erstkontakt vorbereiten",IF($K294="Kontaktiert",IF($L294="","Datum eintragen",IF(TODAY()&gt;=$O294,"Follow-up 3 fällig",IF(TODAY()&gt;=$N294,"Follow-up 2 fällig",IF(TODAY()&gt;=$M294,"Follow-up 1 fällig","warten")))),IF($K294="Antwort","Antworten",IF($K294="Gespräch","Nachbereiten",IF($K294="Angebot","Angebot nachfassen","")))))))</f>
        <v/>
      </c>
      <c r="Q294" s="17"/>
      <c r="R294" s="13"/>
    </row>
    <row r="295" customFormat="false" ht="15" hidden="false" customHeight="tru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3"/>
      <c r="K295" s="12"/>
      <c r="L295" s="14"/>
      <c r="M295" s="15" t="str">
        <f aca="false">IF($L295="","",$L295+Einstellungen!$B$3)</f>
        <v/>
      </c>
      <c r="N295" s="15" t="str">
        <f aca="false">IF($L295="","",$L295+Einstellungen!$B$4)</f>
        <v/>
      </c>
      <c r="O295" s="15" t="str">
        <f aca="false">IF($L295="","",$L295+Einstellungen!$B$5)</f>
        <v/>
      </c>
      <c r="P295" s="16" t="str">
        <f aca="true">IF($B295="","",IF(OR($K295="Gewonnen",$K295="Verloren",$K295="Kein Interesse"),"abgeschlossen",IF(OR($K295="Neu",$K295="Recherchiert",$K295=""),"Erstkontakt vorbereiten",IF($K295="Kontaktiert",IF($L295="","Datum eintragen",IF(TODAY()&gt;=$O295,"Follow-up 3 fällig",IF(TODAY()&gt;=$N295,"Follow-up 2 fällig",IF(TODAY()&gt;=$M295,"Follow-up 1 fällig","warten")))),IF($K295="Antwort","Antworten",IF($K295="Gespräch","Nachbereiten",IF($K295="Angebot","Angebot nachfassen","")))))))</f>
        <v/>
      </c>
      <c r="Q295" s="17"/>
      <c r="R295" s="13"/>
    </row>
    <row r="296" customFormat="false" ht="15" hidden="false" customHeight="tru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3"/>
      <c r="K296" s="12"/>
      <c r="L296" s="14"/>
      <c r="M296" s="15" t="str">
        <f aca="false">IF($L296="","",$L296+Einstellungen!$B$3)</f>
        <v/>
      </c>
      <c r="N296" s="15" t="str">
        <f aca="false">IF($L296="","",$L296+Einstellungen!$B$4)</f>
        <v/>
      </c>
      <c r="O296" s="15" t="str">
        <f aca="false">IF($L296="","",$L296+Einstellungen!$B$5)</f>
        <v/>
      </c>
      <c r="P296" s="16" t="str">
        <f aca="true">IF($B296="","",IF(OR($K296="Gewonnen",$K296="Verloren",$K296="Kein Interesse"),"abgeschlossen",IF(OR($K296="Neu",$K296="Recherchiert",$K296=""),"Erstkontakt vorbereiten",IF($K296="Kontaktiert",IF($L296="","Datum eintragen",IF(TODAY()&gt;=$O296,"Follow-up 3 fällig",IF(TODAY()&gt;=$N296,"Follow-up 2 fällig",IF(TODAY()&gt;=$M296,"Follow-up 1 fällig","warten")))),IF($K296="Antwort","Antworten",IF($K296="Gespräch","Nachbereiten",IF($K296="Angebot","Angebot nachfassen","")))))))</f>
        <v/>
      </c>
      <c r="Q296" s="17"/>
      <c r="R296" s="13"/>
    </row>
    <row r="297" customFormat="false" ht="15" hidden="false" customHeight="tru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3"/>
      <c r="K297" s="12"/>
      <c r="L297" s="14"/>
      <c r="M297" s="15" t="str">
        <f aca="false">IF($L297="","",$L297+Einstellungen!$B$3)</f>
        <v/>
      </c>
      <c r="N297" s="15" t="str">
        <f aca="false">IF($L297="","",$L297+Einstellungen!$B$4)</f>
        <v/>
      </c>
      <c r="O297" s="15" t="str">
        <f aca="false">IF($L297="","",$L297+Einstellungen!$B$5)</f>
        <v/>
      </c>
      <c r="P297" s="16" t="str">
        <f aca="true">IF($B297="","",IF(OR($K297="Gewonnen",$K297="Verloren",$K297="Kein Interesse"),"abgeschlossen",IF(OR($K297="Neu",$K297="Recherchiert",$K297=""),"Erstkontakt vorbereiten",IF($K297="Kontaktiert",IF($L297="","Datum eintragen",IF(TODAY()&gt;=$O297,"Follow-up 3 fällig",IF(TODAY()&gt;=$N297,"Follow-up 2 fällig",IF(TODAY()&gt;=$M297,"Follow-up 1 fällig","warten")))),IF($K297="Antwort","Antworten",IF($K297="Gespräch","Nachbereiten",IF($K297="Angebot","Angebot nachfassen","")))))))</f>
        <v/>
      </c>
      <c r="Q297" s="17"/>
      <c r="R297" s="13"/>
    </row>
    <row r="298" customFormat="false" ht="15" hidden="false" customHeight="tru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3"/>
      <c r="K298" s="12"/>
      <c r="L298" s="14"/>
      <c r="M298" s="15" t="str">
        <f aca="false">IF($L298="","",$L298+Einstellungen!$B$3)</f>
        <v/>
      </c>
      <c r="N298" s="15" t="str">
        <f aca="false">IF($L298="","",$L298+Einstellungen!$B$4)</f>
        <v/>
      </c>
      <c r="O298" s="15" t="str">
        <f aca="false">IF($L298="","",$L298+Einstellungen!$B$5)</f>
        <v/>
      </c>
      <c r="P298" s="16" t="str">
        <f aca="true">IF($B298="","",IF(OR($K298="Gewonnen",$K298="Verloren",$K298="Kein Interesse"),"abgeschlossen",IF(OR($K298="Neu",$K298="Recherchiert",$K298=""),"Erstkontakt vorbereiten",IF($K298="Kontaktiert",IF($L298="","Datum eintragen",IF(TODAY()&gt;=$O298,"Follow-up 3 fällig",IF(TODAY()&gt;=$N298,"Follow-up 2 fällig",IF(TODAY()&gt;=$M298,"Follow-up 1 fällig","warten")))),IF($K298="Antwort","Antworten",IF($K298="Gespräch","Nachbereiten",IF($K298="Angebot","Angebot nachfassen","")))))))</f>
        <v/>
      </c>
      <c r="Q298" s="17"/>
      <c r="R298" s="13"/>
    </row>
    <row r="299" customFormat="false" ht="15" hidden="false" customHeight="tru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3"/>
      <c r="K299" s="12"/>
      <c r="L299" s="14"/>
      <c r="M299" s="15" t="str">
        <f aca="false">IF($L299="","",$L299+Einstellungen!$B$3)</f>
        <v/>
      </c>
      <c r="N299" s="15" t="str">
        <f aca="false">IF($L299="","",$L299+Einstellungen!$B$4)</f>
        <v/>
      </c>
      <c r="O299" s="15" t="str">
        <f aca="false">IF($L299="","",$L299+Einstellungen!$B$5)</f>
        <v/>
      </c>
      <c r="P299" s="16" t="str">
        <f aca="true">IF($B299="","",IF(OR($K299="Gewonnen",$K299="Verloren",$K299="Kein Interesse"),"abgeschlossen",IF(OR($K299="Neu",$K299="Recherchiert",$K299=""),"Erstkontakt vorbereiten",IF($K299="Kontaktiert",IF($L299="","Datum eintragen",IF(TODAY()&gt;=$O299,"Follow-up 3 fällig",IF(TODAY()&gt;=$N299,"Follow-up 2 fällig",IF(TODAY()&gt;=$M299,"Follow-up 1 fällig","warten")))),IF($K299="Antwort","Antworten",IF($K299="Gespräch","Nachbereiten",IF($K299="Angebot","Angebot nachfassen","")))))))</f>
        <v/>
      </c>
      <c r="Q299" s="17"/>
      <c r="R299" s="13"/>
    </row>
    <row r="300" customFormat="false" ht="15" hidden="false" customHeight="tru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3"/>
      <c r="K300" s="12"/>
      <c r="L300" s="14"/>
      <c r="M300" s="15" t="str">
        <f aca="false">IF($L300="","",$L300+Einstellungen!$B$3)</f>
        <v/>
      </c>
      <c r="N300" s="15" t="str">
        <f aca="false">IF($L300="","",$L300+Einstellungen!$B$4)</f>
        <v/>
      </c>
      <c r="O300" s="15" t="str">
        <f aca="false">IF($L300="","",$L300+Einstellungen!$B$5)</f>
        <v/>
      </c>
      <c r="P300" s="16" t="str">
        <f aca="true">IF($B300="","",IF(OR($K300="Gewonnen",$K300="Verloren",$K300="Kein Interesse"),"abgeschlossen",IF(OR($K300="Neu",$K300="Recherchiert",$K300=""),"Erstkontakt vorbereiten",IF($K300="Kontaktiert",IF($L300="","Datum eintragen",IF(TODAY()&gt;=$O300,"Follow-up 3 fällig",IF(TODAY()&gt;=$N300,"Follow-up 2 fällig",IF(TODAY()&gt;=$M300,"Follow-up 1 fällig","warten")))),IF($K300="Antwort","Antworten",IF($K300="Gespräch","Nachbereiten",IF($K300="Angebot","Angebot nachfassen","")))))))</f>
        <v/>
      </c>
      <c r="Q300" s="17"/>
      <c r="R300" s="13"/>
    </row>
    <row r="301" customFormat="false" ht="15" hidden="false" customHeight="tru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3"/>
      <c r="K301" s="12"/>
      <c r="L301" s="14"/>
      <c r="M301" s="15" t="str">
        <f aca="false">IF($L301="","",$L301+Einstellungen!$B$3)</f>
        <v/>
      </c>
      <c r="N301" s="15" t="str">
        <f aca="false">IF($L301="","",$L301+Einstellungen!$B$4)</f>
        <v/>
      </c>
      <c r="O301" s="15" t="str">
        <f aca="false">IF($L301="","",$L301+Einstellungen!$B$5)</f>
        <v/>
      </c>
      <c r="P301" s="16" t="str">
        <f aca="true">IF($B301="","",IF(OR($K301="Gewonnen",$K301="Verloren",$K301="Kein Interesse"),"abgeschlossen",IF(OR($K301="Neu",$K301="Recherchiert",$K301=""),"Erstkontakt vorbereiten",IF($K301="Kontaktiert",IF($L301="","Datum eintragen",IF(TODAY()&gt;=$O301,"Follow-up 3 fällig",IF(TODAY()&gt;=$N301,"Follow-up 2 fällig",IF(TODAY()&gt;=$M301,"Follow-up 1 fällig","warten")))),IF($K301="Antwort","Antworten",IF($K301="Gespräch","Nachbereiten",IF($K301="Angebot","Angebot nachfassen","")))))))</f>
        <v/>
      </c>
      <c r="Q301" s="17"/>
      <c r="R301" s="13"/>
    </row>
    <row r="302" customFormat="false" ht="15" hidden="false" customHeight="tru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3"/>
      <c r="K302" s="12"/>
      <c r="L302" s="14"/>
      <c r="M302" s="15" t="str">
        <f aca="false">IF($L302="","",$L302+Einstellungen!$B$3)</f>
        <v/>
      </c>
      <c r="N302" s="15" t="str">
        <f aca="false">IF($L302="","",$L302+Einstellungen!$B$4)</f>
        <v/>
      </c>
      <c r="O302" s="15" t="str">
        <f aca="false">IF($L302="","",$L302+Einstellungen!$B$5)</f>
        <v/>
      </c>
      <c r="P302" s="16" t="str">
        <f aca="true">IF($B302="","",IF(OR($K302="Gewonnen",$K302="Verloren",$K302="Kein Interesse"),"abgeschlossen",IF(OR($K302="Neu",$K302="Recherchiert",$K302=""),"Erstkontakt vorbereiten",IF($K302="Kontaktiert",IF($L302="","Datum eintragen",IF(TODAY()&gt;=$O302,"Follow-up 3 fällig",IF(TODAY()&gt;=$N302,"Follow-up 2 fällig",IF(TODAY()&gt;=$M302,"Follow-up 1 fällig","warten")))),IF($K302="Antwort","Antworten",IF($K302="Gespräch","Nachbereiten",IF($K302="Angebot","Angebot nachfassen","")))))))</f>
        <v/>
      </c>
      <c r="Q302" s="17"/>
      <c r="R302" s="13"/>
    </row>
    <row r="303" customFormat="false" ht="15" hidden="false" customHeight="tru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3"/>
      <c r="K303" s="12"/>
      <c r="L303" s="14"/>
      <c r="M303" s="15" t="str">
        <f aca="false">IF($L303="","",$L303+Einstellungen!$B$3)</f>
        <v/>
      </c>
      <c r="N303" s="15" t="str">
        <f aca="false">IF($L303="","",$L303+Einstellungen!$B$4)</f>
        <v/>
      </c>
      <c r="O303" s="15" t="str">
        <f aca="false">IF($L303="","",$L303+Einstellungen!$B$5)</f>
        <v/>
      </c>
      <c r="P303" s="16" t="str">
        <f aca="true">IF($B303="","",IF(OR($K303="Gewonnen",$K303="Verloren",$K303="Kein Interesse"),"abgeschlossen",IF(OR($K303="Neu",$K303="Recherchiert",$K303=""),"Erstkontakt vorbereiten",IF($K303="Kontaktiert",IF($L303="","Datum eintragen",IF(TODAY()&gt;=$O303,"Follow-up 3 fällig",IF(TODAY()&gt;=$N303,"Follow-up 2 fällig",IF(TODAY()&gt;=$M303,"Follow-up 1 fällig","warten")))),IF($K303="Antwort","Antworten",IF($K303="Gespräch","Nachbereiten",IF($K303="Angebot","Angebot nachfassen","")))))))</f>
        <v/>
      </c>
      <c r="Q303" s="17"/>
      <c r="R303" s="13"/>
    </row>
    <row r="304" customFormat="false" ht="15" hidden="false" customHeight="tru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3"/>
      <c r="K304" s="12"/>
      <c r="L304" s="14"/>
      <c r="M304" s="15" t="str">
        <f aca="false">IF($L304="","",$L304+Einstellungen!$B$3)</f>
        <v/>
      </c>
      <c r="N304" s="15" t="str">
        <f aca="false">IF($L304="","",$L304+Einstellungen!$B$4)</f>
        <v/>
      </c>
      <c r="O304" s="15" t="str">
        <f aca="false">IF($L304="","",$L304+Einstellungen!$B$5)</f>
        <v/>
      </c>
      <c r="P304" s="16" t="str">
        <f aca="true">IF($B304="","",IF(OR($K304="Gewonnen",$K304="Verloren",$K304="Kein Interesse"),"abgeschlossen",IF(OR($K304="Neu",$K304="Recherchiert",$K304=""),"Erstkontakt vorbereiten",IF($K304="Kontaktiert",IF($L304="","Datum eintragen",IF(TODAY()&gt;=$O304,"Follow-up 3 fällig",IF(TODAY()&gt;=$N304,"Follow-up 2 fällig",IF(TODAY()&gt;=$M304,"Follow-up 1 fällig","warten")))),IF($K304="Antwort","Antworten",IF($K304="Gespräch","Nachbereiten",IF($K304="Angebot","Angebot nachfassen","")))))))</f>
        <v/>
      </c>
      <c r="Q304" s="17"/>
      <c r="R304" s="13"/>
    </row>
    <row r="305" customFormat="false" ht="15" hidden="false" customHeight="tru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3"/>
      <c r="K305" s="12"/>
      <c r="L305" s="14"/>
      <c r="M305" s="15" t="str">
        <f aca="false">IF($L305="","",$L305+Einstellungen!$B$3)</f>
        <v/>
      </c>
      <c r="N305" s="15" t="str">
        <f aca="false">IF($L305="","",$L305+Einstellungen!$B$4)</f>
        <v/>
      </c>
      <c r="O305" s="15" t="str">
        <f aca="false">IF($L305="","",$L305+Einstellungen!$B$5)</f>
        <v/>
      </c>
      <c r="P305" s="16" t="str">
        <f aca="true">IF($B305="","",IF(OR($K305="Gewonnen",$K305="Verloren",$K305="Kein Interesse"),"abgeschlossen",IF(OR($K305="Neu",$K305="Recherchiert",$K305=""),"Erstkontakt vorbereiten",IF($K305="Kontaktiert",IF($L305="","Datum eintragen",IF(TODAY()&gt;=$O305,"Follow-up 3 fällig",IF(TODAY()&gt;=$N305,"Follow-up 2 fällig",IF(TODAY()&gt;=$M305,"Follow-up 1 fällig","warten")))),IF($K305="Antwort","Antworten",IF($K305="Gespräch","Nachbereiten",IF($K305="Angebot","Angebot nachfassen","")))))))</f>
        <v/>
      </c>
      <c r="Q305" s="17"/>
      <c r="R305" s="13"/>
    </row>
    <row r="306" customFormat="false" ht="15" hidden="false" customHeight="tru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  <c r="J306" s="13"/>
      <c r="K306" s="12"/>
      <c r="L306" s="14"/>
      <c r="M306" s="15" t="str">
        <f aca="false">IF($L306="","",$L306+Einstellungen!$B$3)</f>
        <v/>
      </c>
      <c r="N306" s="15" t="str">
        <f aca="false">IF($L306="","",$L306+Einstellungen!$B$4)</f>
        <v/>
      </c>
      <c r="O306" s="15" t="str">
        <f aca="false">IF($L306="","",$L306+Einstellungen!$B$5)</f>
        <v/>
      </c>
      <c r="P306" s="16" t="str">
        <f aca="true">IF($B306="","",IF(OR($K306="Gewonnen",$K306="Verloren",$K306="Kein Interesse"),"abgeschlossen",IF(OR($K306="Neu",$K306="Recherchiert",$K306=""),"Erstkontakt vorbereiten",IF($K306="Kontaktiert",IF($L306="","Datum eintragen",IF(TODAY()&gt;=$O306,"Follow-up 3 fällig",IF(TODAY()&gt;=$N306,"Follow-up 2 fällig",IF(TODAY()&gt;=$M306,"Follow-up 1 fällig","warten")))),IF($K306="Antwort","Antworten",IF($K306="Gespräch","Nachbereiten",IF($K306="Angebot","Angebot nachfassen","")))))))</f>
        <v/>
      </c>
      <c r="Q306" s="17"/>
      <c r="R306" s="13"/>
    </row>
    <row r="307" customFormat="false" ht="15" hidden="false" customHeight="tru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  <c r="J307" s="13"/>
      <c r="K307" s="12"/>
      <c r="L307" s="14"/>
      <c r="M307" s="15" t="str">
        <f aca="false">IF($L307="","",$L307+Einstellungen!$B$3)</f>
        <v/>
      </c>
      <c r="N307" s="15" t="str">
        <f aca="false">IF($L307="","",$L307+Einstellungen!$B$4)</f>
        <v/>
      </c>
      <c r="O307" s="15" t="str">
        <f aca="false">IF($L307="","",$L307+Einstellungen!$B$5)</f>
        <v/>
      </c>
      <c r="P307" s="16" t="str">
        <f aca="true">IF($B307="","",IF(OR($K307="Gewonnen",$K307="Verloren",$K307="Kein Interesse"),"abgeschlossen",IF(OR($K307="Neu",$K307="Recherchiert",$K307=""),"Erstkontakt vorbereiten",IF($K307="Kontaktiert",IF($L307="","Datum eintragen",IF(TODAY()&gt;=$O307,"Follow-up 3 fällig",IF(TODAY()&gt;=$N307,"Follow-up 2 fällig",IF(TODAY()&gt;=$M307,"Follow-up 1 fällig","warten")))),IF($K307="Antwort","Antworten",IF($K307="Gespräch","Nachbereiten",IF($K307="Angebot","Angebot nachfassen","")))))))</f>
        <v/>
      </c>
      <c r="Q307" s="17"/>
      <c r="R307" s="13"/>
    </row>
    <row r="308" customFormat="false" ht="15" hidden="false" customHeight="tru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  <c r="J308" s="13"/>
      <c r="K308" s="12"/>
      <c r="L308" s="14"/>
      <c r="M308" s="15" t="str">
        <f aca="false">IF($L308="","",$L308+Einstellungen!$B$3)</f>
        <v/>
      </c>
      <c r="N308" s="15" t="str">
        <f aca="false">IF($L308="","",$L308+Einstellungen!$B$4)</f>
        <v/>
      </c>
      <c r="O308" s="15" t="str">
        <f aca="false">IF($L308="","",$L308+Einstellungen!$B$5)</f>
        <v/>
      </c>
      <c r="P308" s="16" t="str">
        <f aca="true">IF($B308="","",IF(OR($K308="Gewonnen",$K308="Verloren",$K308="Kein Interesse"),"abgeschlossen",IF(OR($K308="Neu",$K308="Recherchiert",$K308=""),"Erstkontakt vorbereiten",IF($K308="Kontaktiert",IF($L308="","Datum eintragen",IF(TODAY()&gt;=$O308,"Follow-up 3 fällig",IF(TODAY()&gt;=$N308,"Follow-up 2 fällig",IF(TODAY()&gt;=$M308,"Follow-up 1 fällig","warten")))),IF($K308="Antwort","Antworten",IF($K308="Gespräch","Nachbereiten",IF($K308="Angebot","Angebot nachfassen","")))))))</f>
        <v/>
      </c>
      <c r="Q308" s="17"/>
      <c r="R308" s="13"/>
    </row>
    <row r="309" customFormat="false" ht="15" hidden="false" customHeight="tru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  <c r="J309" s="13"/>
      <c r="K309" s="12"/>
      <c r="L309" s="14"/>
      <c r="M309" s="15" t="str">
        <f aca="false">IF($L309="","",$L309+Einstellungen!$B$3)</f>
        <v/>
      </c>
      <c r="N309" s="15" t="str">
        <f aca="false">IF($L309="","",$L309+Einstellungen!$B$4)</f>
        <v/>
      </c>
      <c r="O309" s="15" t="str">
        <f aca="false">IF($L309="","",$L309+Einstellungen!$B$5)</f>
        <v/>
      </c>
      <c r="P309" s="16" t="str">
        <f aca="true">IF($B309="","",IF(OR($K309="Gewonnen",$K309="Verloren",$K309="Kein Interesse"),"abgeschlossen",IF(OR($K309="Neu",$K309="Recherchiert",$K309=""),"Erstkontakt vorbereiten",IF($K309="Kontaktiert",IF($L309="","Datum eintragen",IF(TODAY()&gt;=$O309,"Follow-up 3 fällig",IF(TODAY()&gt;=$N309,"Follow-up 2 fällig",IF(TODAY()&gt;=$M309,"Follow-up 1 fällig","warten")))),IF($K309="Antwort","Antworten",IF($K309="Gespräch","Nachbereiten",IF($K309="Angebot","Angebot nachfassen","")))))))</f>
        <v/>
      </c>
      <c r="Q309" s="17"/>
      <c r="R309" s="13"/>
    </row>
    <row r="310" customFormat="false" ht="15" hidden="false" customHeight="tru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  <c r="J310" s="13"/>
      <c r="K310" s="12"/>
      <c r="L310" s="14"/>
      <c r="M310" s="15" t="str">
        <f aca="false">IF($L310="","",$L310+Einstellungen!$B$3)</f>
        <v/>
      </c>
      <c r="N310" s="15" t="str">
        <f aca="false">IF($L310="","",$L310+Einstellungen!$B$4)</f>
        <v/>
      </c>
      <c r="O310" s="15" t="str">
        <f aca="false">IF($L310="","",$L310+Einstellungen!$B$5)</f>
        <v/>
      </c>
      <c r="P310" s="16" t="str">
        <f aca="true">IF($B310="","",IF(OR($K310="Gewonnen",$K310="Verloren",$K310="Kein Interesse"),"abgeschlossen",IF(OR($K310="Neu",$K310="Recherchiert",$K310=""),"Erstkontakt vorbereiten",IF($K310="Kontaktiert",IF($L310="","Datum eintragen",IF(TODAY()&gt;=$O310,"Follow-up 3 fällig",IF(TODAY()&gt;=$N310,"Follow-up 2 fällig",IF(TODAY()&gt;=$M310,"Follow-up 1 fällig","warten")))),IF($K310="Antwort","Antworten",IF($K310="Gespräch","Nachbereiten",IF($K310="Angebot","Angebot nachfassen","")))))))</f>
        <v/>
      </c>
      <c r="Q310" s="17"/>
      <c r="R310" s="13"/>
    </row>
    <row r="311" customFormat="false" ht="15" hidden="false" customHeight="tru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  <c r="J311" s="13"/>
      <c r="K311" s="12"/>
      <c r="L311" s="14"/>
      <c r="M311" s="15" t="str">
        <f aca="false">IF($L311="","",$L311+Einstellungen!$B$3)</f>
        <v/>
      </c>
      <c r="N311" s="15" t="str">
        <f aca="false">IF($L311="","",$L311+Einstellungen!$B$4)</f>
        <v/>
      </c>
      <c r="O311" s="15" t="str">
        <f aca="false">IF($L311="","",$L311+Einstellungen!$B$5)</f>
        <v/>
      </c>
      <c r="P311" s="16" t="str">
        <f aca="true">IF($B311="","",IF(OR($K311="Gewonnen",$K311="Verloren",$K311="Kein Interesse"),"abgeschlossen",IF(OR($K311="Neu",$K311="Recherchiert",$K311=""),"Erstkontakt vorbereiten",IF($K311="Kontaktiert",IF($L311="","Datum eintragen",IF(TODAY()&gt;=$O311,"Follow-up 3 fällig",IF(TODAY()&gt;=$N311,"Follow-up 2 fällig",IF(TODAY()&gt;=$M311,"Follow-up 1 fällig","warten")))),IF($K311="Antwort","Antworten",IF($K311="Gespräch","Nachbereiten",IF($K311="Angebot","Angebot nachfassen","")))))))</f>
        <v/>
      </c>
      <c r="Q311" s="17"/>
      <c r="R311" s="13"/>
    </row>
    <row r="312" customFormat="false" ht="15" hidden="false" customHeight="tru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  <c r="J312" s="13"/>
      <c r="K312" s="12"/>
      <c r="L312" s="14"/>
      <c r="M312" s="15" t="str">
        <f aca="false">IF($L312="","",$L312+Einstellungen!$B$3)</f>
        <v/>
      </c>
      <c r="N312" s="15" t="str">
        <f aca="false">IF($L312="","",$L312+Einstellungen!$B$4)</f>
        <v/>
      </c>
      <c r="O312" s="15" t="str">
        <f aca="false">IF($L312="","",$L312+Einstellungen!$B$5)</f>
        <v/>
      </c>
      <c r="P312" s="16" t="str">
        <f aca="true">IF($B312="","",IF(OR($K312="Gewonnen",$K312="Verloren",$K312="Kein Interesse"),"abgeschlossen",IF(OR($K312="Neu",$K312="Recherchiert",$K312=""),"Erstkontakt vorbereiten",IF($K312="Kontaktiert",IF($L312="","Datum eintragen",IF(TODAY()&gt;=$O312,"Follow-up 3 fällig",IF(TODAY()&gt;=$N312,"Follow-up 2 fällig",IF(TODAY()&gt;=$M312,"Follow-up 1 fällig","warten")))),IF($K312="Antwort","Antworten",IF($K312="Gespräch","Nachbereiten",IF($K312="Angebot","Angebot nachfassen","")))))))</f>
        <v/>
      </c>
      <c r="Q312" s="17"/>
      <c r="R312" s="13"/>
    </row>
    <row r="313" customFormat="false" ht="15" hidden="false" customHeight="tru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  <c r="J313" s="13"/>
      <c r="K313" s="12"/>
      <c r="L313" s="14"/>
      <c r="M313" s="15" t="str">
        <f aca="false">IF($L313="","",$L313+Einstellungen!$B$3)</f>
        <v/>
      </c>
      <c r="N313" s="15" t="str">
        <f aca="false">IF($L313="","",$L313+Einstellungen!$B$4)</f>
        <v/>
      </c>
      <c r="O313" s="15" t="str">
        <f aca="false">IF($L313="","",$L313+Einstellungen!$B$5)</f>
        <v/>
      </c>
      <c r="P313" s="16" t="str">
        <f aca="true">IF($B313="","",IF(OR($K313="Gewonnen",$K313="Verloren",$K313="Kein Interesse"),"abgeschlossen",IF(OR($K313="Neu",$K313="Recherchiert",$K313=""),"Erstkontakt vorbereiten",IF($K313="Kontaktiert",IF($L313="","Datum eintragen",IF(TODAY()&gt;=$O313,"Follow-up 3 fällig",IF(TODAY()&gt;=$N313,"Follow-up 2 fällig",IF(TODAY()&gt;=$M313,"Follow-up 1 fällig","warten")))),IF($K313="Antwort","Antworten",IF($K313="Gespräch","Nachbereiten",IF($K313="Angebot","Angebot nachfassen","")))))))</f>
        <v/>
      </c>
      <c r="Q313" s="17"/>
      <c r="R313" s="13"/>
    </row>
    <row r="314" customFormat="false" ht="15" hidden="false" customHeight="tru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  <c r="J314" s="13"/>
      <c r="K314" s="12"/>
      <c r="L314" s="14"/>
      <c r="M314" s="15" t="str">
        <f aca="false">IF($L314="","",$L314+Einstellungen!$B$3)</f>
        <v/>
      </c>
      <c r="N314" s="15" t="str">
        <f aca="false">IF($L314="","",$L314+Einstellungen!$B$4)</f>
        <v/>
      </c>
      <c r="O314" s="15" t="str">
        <f aca="false">IF($L314="","",$L314+Einstellungen!$B$5)</f>
        <v/>
      </c>
      <c r="P314" s="16" t="str">
        <f aca="true">IF($B314="","",IF(OR($K314="Gewonnen",$K314="Verloren",$K314="Kein Interesse"),"abgeschlossen",IF(OR($K314="Neu",$K314="Recherchiert",$K314=""),"Erstkontakt vorbereiten",IF($K314="Kontaktiert",IF($L314="","Datum eintragen",IF(TODAY()&gt;=$O314,"Follow-up 3 fällig",IF(TODAY()&gt;=$N314,"Follow-up 2 fällig",IF(TODAY()&gt;=$M314,"Follow-up 1 fällig","warten")))),IF($K314="Antwort","Antworten",IF($K314="Gespräch","Nachbereiten",IF($K314="Angebot","Angebot nachfassen","")))))))</f>
        <v/>
      </c>
      <c r="Q314" s="17"/>
      <c r="R314" s="13"/>
    </row>
    <row r="315" customFormat="false" ht="15" hidden="false" customHeight="tru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  <c r="J315" s="13"/>
      <c r="K315" s="12"/>
      <c r="L315" s="14"/>
      <c r="M315" s="15" t="str">
        <f aca="false">IF($L315="","",$L315+Einstellungen!$B$3)</f>
        <v/>
      </c>
      <c r="N315" s="15" t="str">
        <f aca="false">IF($L315="","",$L315+Einstellungen!$B$4)</f>
        <v/>
      </c>
      <c r="O315" s="15" t="str">
        <f aca="false">IF($L315="","",$L315+Einstellungen!$B$5)</f>
        <v/>
      </c>
      <c r="P315" s="16" t="str">
        <f aca="true">IF($B315="","",IF(OR($K315="Gewonnen",$K315="Verloren",$K315="Kein Interesse"),"abgeschlossen",IF(OR($K315="Neu",$K315="Recherchiert",$K315=""),"Erstkontakt vorbereiten",IF($K315="Kontaktiert",IF($L315="","Datum eintragen",IF(TODAY()&gt;=$O315,"Follow-up 3 fällig",IF(TODAY()&gt;=$N315,"Follow-up 2 fällig",IF(TODAY()&gt;=$M315,"Follow-up 1 fällig","warten")))),IF($K315="Antwort","Antworten",IF($K315="Gespräch","Nachbereiten",IF($K315="Angebot","Angebot nachfassen","")))))))</f>
        <v/>
      </c>
      <c r="Q315" s="17"/>
      <c r="R315" s="13"/>
    </row>
    <row r="316" customFormat="false" ht="15" hidden="false" customHeight="tru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  <c r="J316" s="13"/>
      <c r="K316" s="12"/>
      <c r="L316" s="14"/>
      <c r="M316" s="15" t="str">
        <f aca="false">IF($L316="","",$L316+Einstellungen!$B$3)</f>
        <v/>
      </c>
      <c r="N316" s="15" t="str">
        <f aca="false">IF($L316="","",$L316+Einstellungen!$B$4)</f>
        <v/>
      </c>
      <c r="O316" s="15" t="str">
        <f aca="false">IF($L316="","",$L316+Einstellungen!$B$5)</f>
        <v/>
      </c>
      <c r="P316" s="16" t="str">
        <f aca="true">IF($B316="","",IF(OR($K316="Gewonnen",$K316="Verloren",$K316="Kein Interesse"),"abgeschlossen",IF(OR($K316="Neu",$K316="Recherchiert",$K316=""),"Erstkontakt vorbereiten",IF($K316="Kontaktiert",IF($L316="","Datum eintragen",IF(TODAY()&gt;=$O316,"Follow-up 3 fällig",IF(TODAY()&gt;=$N316,"Follow-up 2 fällig",IF(TODAY()&gt;=$M316,"Follow-up 1 fällig","warten")))),IF($K316="Antwort","Antworten",IF($K316="Gespräch","Nachbereiten",IF($K316="Angebot","Angebot nachfassen","")))))))</f>
        <v/>
      </c>
      <c r="Q316" s="17"/>
      <c r="R316" s="13"/>
    </row>
    <row r="317" customFormat="false" ht="15" hidden="false" customHeight="tru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  <c r="J317" s="13"/>
      <c r="K317" s="12"/>
      <c r="L317" s="14"/>
      <c r="M317" s="15" t="str">
        <f aca="false">IF($L317="","",$L317+Einstellungen!$B$3)</f>
        <v/>
      </c>
      <c r="N317" s="15" t="str">
        <f aca="false">IF($L317="","",$L317+Einstellungen!$B$4)</f>
        <v/>
      </c>
      <c r="O317" s="15" t="str">
        <f aca="false">IF($L317="","",$L317+Einstellungen!$B$5)</f>
        <v/>
      </c>
      <c r="P317" s="16" t="str">
        <f aca="true">IF($B317="","",IF(OR($K317="Gewonnen",$K317="Verloren",$K317="Kein Interesse"),"abgeschlossen",IF(OR($K317="Neu",$K317="Recherchiert",$K317=""),"Erstkontakt vorbereiten",IF($K317="Kontaktiert",IF($L317="","Datum eintragen",IF(TODAY()&gt;=$O317,"Follow-up 3 fällig",IF(TODAY()&gt;=$N317,"Follow-up 2 fällig",IF(TODAY()&gt;=$M317,"Follow-up 1 fällig","warten")))),IF($K317="Antwort","Antworten",IF($K317="Gespräch","Nachbereiten",IF($K317="Angebot","Angebot nachfassen","")))))))</f>
        <v/>
      </c>
      <c r="Q317" s="17"/>
      <c r="R317" s="13"/>
    </row>
    <row r="318" customFormat="false" ht="15" hidden="false" customHeight="tru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3"/>
      <c r="K318" s="12"/>
      <c r="L318" s="14"/>
      <c r="M318" s="15" t="str">
        <f aca="false">IF($L318="","",$L318+Einstellungen!$B$3)</f>
        <v/>
      </c>
      <c r="N318" s="15" t="str">
        <f aca="false">IF($L318="","",$L318+Einstellungen!$B$4)</f>
        <v/>
      </c>
      <c r="O318" s="15" t="str">
        <f aca="false">IF($L318="","",$L318+Einstellungen!$B$5)</f>
        <v/>
      </c>
      <c r="P318" s="16" t="str">
        <f aca="true">IF($B318="","",IF(OR($K318="Gewonnen",$K318="Verloren",$K318="Kein Interesse"),"abgeschlossen",IF(OR($K318="Neu",$K318="Recherchiert",$K318=""),"Erstkontakt vorbereiten",IF($K318="Kontaktiert",IF($L318="","Datum eintragen",IF(TODAY()&gt;=$O318,"Follow-up 3 fällig",IF(TODAY()&gt;=$N318,"Follow-up 2 fällig",IF(TODAY()&gt;=$M318,"Follow-up 1 fällig","warten")))),IF($K318="Antwort","Antworten",IF($K318="Gespräch","Nachbereiten",IF($K318="Angebot","Angebot nachfassen","")))))))</f>
        <v/>
      </c>
      <c r="Q318" s="17"/>
      <c r="R318" s="13"/>
    </row>
    <row r="319" customFormat="false" ht="15" hidden="false" customHeight="tru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  <c r="J319" s="13"/>
      <c r="K319" s="12"/>
      <c r="L319" s="14"/>
      <c r="M319" s="15" t="str">
        <f aca="false">IF($L319="","",$L319+Einstellungen!$B$3)</f>
        <v/>
      </c>
      <c r="N319" s="15" t="str">
        <f aca="false">IF($L319="","",$L319+Einstellungen!$B$4)</f>
        <v/>
      </c>
      <c r="O319" s="15" t="str">
        <f aca="false">IF($L319="","",$L319+Einstellungen!$B$5)</f>
        <v/>
      </c>
      <c r="P319" s="16" t="str">
        <f aca="true">IF($B319="","",IF(OR($K319="Gewonnen",$K319="Verloren",$K319="Kein Interesse"),"abgeschlossen",IF(OR($K319="Neu",$K319="Recherchiert",$K319=""),"Erstkontakt vorbereiten",IF($K319="Kontaktiert",IF($L319="","Datum eintragen",IF(TODAY()&gt;=$O319,"Follow-up 3 fällig",IF(TODAY()&gt;=$N319,"Follow-up 2 fällig",IF(TODAY()&gt;=$M319,"Follow-up 1 fällig","warten")))),IF($K319="Antwort","Antworten",IF($K319="Gespräch","Nachbereiten",IF($K319="Angebot","Angebot nachfassen","")))))))</f>
        <v/>
      </c>
      <c r="Q319" s="17"/>
      <c r="R319" s="13"/>
    </row>
    <row r="320" customFormat="false" ht="15" hidden="false" customHeight="tru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  <c r="J320" s="13"/>
      <c r="K320" s="12"/>
      <c r="L320" s="14"/>
      <c r="M320" s="15" t="str">
        <f aca="false">IF($L320="","",$L320+Einstellungen!$B$3)</f>
        <v/>
      </c>
      <c r="N320" s="15" t="str">
        <f aca="false">IF($L320="","",$L320+Einstellungen!$B$4)</f>
        <v/>
      </c>
      <c r="O320" s="15" t="str">
        <f aca="false">IF($L320="","",$L320+Einstellungen!$B$5)</f>
        <v/>
      </c>
      <c r="P320" s="16" t="str">
        <f aca="true">IF($B320="","",IF(OR($K320="Gewonnen",$K320="Verloren",$K320="Kein Interesse"),"abgeschlossen",IF(OR($K320="Neu",$K320="Recherchiert",$K320=""),"Erstkontakt vorbereiten",IF($K320="Kontaktiert",IF($L320="","Datum eintragen",IF(TODAY()&gt;=$O320,"Follow-up 3 fällig",IF(TODAY()&gt;=$N320,"Follow-up 2 fällig",IF(TODAY()&gt;=$M320,"Follow-up 1 fällig","warten")))),IF($K320="Antwort","Antworten",IF($K320="Gespräch","Nachbereiten",IF($K320="Angebot","Angebot nachfassen","")))))))</f>
        <v/>
      </c>
      <c r="Q320" s="17"/>
      <c r="R320" s="13"/>
    </row>
    <row r="321" customFormat="false" ht="15" hidden="false" customHeight="tru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  <c r="J321" s="13"/>
      <c r="K321" s="12"/>
      <c r="L321" s="14"/>
      <c r="M321" s="15" t="str">
        <f aca="false">IF($L321="","",$L321+Einstellungen!$B$3)</f>
        <v/>
      </c>
      <c r="N321" s="15" t="str">
        <f aca="false">IF($L321="","",$L321+Einstellungen!$B$4)</f>
        <v/>
      </c>
      <c r="O321" s="15" t="str">
        <f aca="false">IF($L321="","",$L321+Einstellungen!$B$5)</f>
        <v/>
      </c>
      <c r="P321" s="16" t="str">
        <f aca="true">IF($B321="","",IF(OR($K321="Gewonnen",$K321="Verloren",$K321="Kein Interesse"),"abgeschlossen",IF(OR($K321="Neu",$K321="Recherchiert",$K321=""),"Erstkontakt vorbereiten",IF($K321="Kontaktiert",IF($L321="","Datum eintragen",IF(TODAY()&gt;=$O321,"Follow-up 3 fällig",IF(TODAY()&gt;=$N321,"Follow-up 2 fällig",IF(TODAY()&gt;=$M321,"Follow-up 1 fällig","warten")))),IF($K321="Antwort","Antworten",IF($K321="Gespräch","Nachbereiten",IF($K321="Angebot","Angebot nachfassen","")))))))</f>
        <v/>
      </c>
      <c r="Q321" s="17"/>
      <c r="R321" s="13"/>
    </row>
    <row r="322" customFormat="false" ht="15" hidden="false" customHeight="tru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  <c r="J322" s="13"/>
      <c r="K322" s="12"/>
      <c r="L322" s="14"/>
      <c r="M322" s="15" t="str">
        <f aca="false">IF($L322="","",$L322+Einstellungen!$B$3)</f>
        <v/>
      </c>
      <c r="N322" s="15" t="str">
        <f aca="false">IF($L322="","",$L322+Einstellungen!$B$4)</f>
        <v/>
      </c>
      <c r="O322" s="15" t="str">
        <f aca="false">IF($L322="","",$L322+Einstellungen!$B$5)</f>
        <v/>
      </c>
      <c r="P322" s="16" t="str">
        <f aca="true">IF($B322="","",IF(OR($K322="Gewonnen",$K322="Verloren",$K322="Kein Interesse"),"abgeschlossen",IF(OR($K322="Neu",$K322="Recherchiert",$K322=""),"Erstkontakt vorbereiten",IF($K322="Kontaktiert",IF($L322="","Datum eintragen",IF(TODAY()&gt;=$O322,"Follow-up 3 fällig",IF(TODAY()&gt;=$N322,"Follow-up 2 fällig",IF(TODAY()&gt;=$M322,"Follow-up 1 fällig","warten")))),IF($K322="Antwort","Antworten",IF($K322="Gespräch","Nachbereiten",IF($K322="Angebot","Angebot nachfassen","")))))))</f>
        <v/>
      </c>
      <c r="Q322" s="17"/>
      <c r="R322" s="13"/>
    </row>
    <row r="323" customFormat="false" ht="15" hidden="false" customHeight="tru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  <c r="J323" s="13"/>
      <c r="K323" s="12"/>
      <c r="L323" s="14"/>
      <c r="M323" s="15" t="str">
        <f aca="false">IF($L323="","",$L323+Einstellungen!$B$3)</f>
        <v/>
      </c>
      <c r="N323" s="15" t="str">
        <f aca="false">IF($L323="","",$L323+Einstellungen!$B$4)</f>
        <v/>
      </c>
      <c r="O323" s="15" t="str">
        <f aca="false">IF($L323="","",$L323+Einstellungen!$B$5)</f>
        <v/>
      </c>
      <c r="P323" s="16" t="str">
        <f aca="true">IF($B323="","",IF(OR($K323="Gewonnen",$K323="Verloren",$K323="Kein Interesse"),"abgeschlossen",IF(OR($K323="Neu",$K323="Recherchiert",$K323=""),"Erstkontakt vorbereiten",IF($K323="Kontaktiert",IF($L323="","Datum eintragen",IF(TODAY()&gt;=$O323,"Follow-up 3 fällig",IF(TODAY()&gt;=$N323,"Follow-up 2 fällig",IF(TODAY()&gt;=$M323,"Follow-up 1 fällig","warten")))),IF($K323="Antwort","Antworten",IF($K323="Gespräch","Nachbereiten",IF($K323="Angebot","Angebot nachfassen","")))))))</f>
        <v/>
      </c>
      <c r="Q323" s="17"/>
      <c r="R323" s="13"/>
    </row>
    <row r="324" customFormat="false" ht="15" hidden="false" customHeight="tru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  <c r="J324" s="13"/>
      <c r="K324" s="12"/>
      <c r="L324" s="14"/>
      <c r="M324" s="15" t="str">
        <f aca="false">IF($L324="","",$L324+Einstellungen!$B$3)</f>
        <v/>
      </c>
      <c r="N324" s="15" t="str">
        <f aca="false">IF($L324="","",$L324+Einstellungen!$B$4)</f>
        <v/>
      </c>
      <c r="O324" s="15" t="str">
        <f aca="false">IF($L324="","",$L324+Einstellungen!$B$5)</f>
        <v/>
      </c>
      <c r="P324" s="16" t="str">
        <f aca="true">IF($B324="","",IF(OR($K324="Gewonnen",$K324="Verloren",$K324="Kein Interesse"),"abgeschlossen",IF(OR($K324="Neu",$K324="Recherchiert",$K324=""),"Erstkontakt vorbereiten",IF($K324="Kontaktiert",IF($L324="","Datum eintragen",IF(TODAY()&gt;=$O324,"Follow-up 3 fällig",IF(TODAY()&gt;=$N324,"Follow-up 2 fällig",IF(TODAY()&gt;=$M324,"Follow-up 1 fällig","warten")))),IF($K324="Antwort","Antworten",IF($K324="Gespräch","Nachbereiten",IF($K324="Angebot","Angebot nachfassen","")))))))</f>
        <v/>
      </c>
      <c r="Q324" s="17"/>
      <c r="R324" s="13"/>
    </row>
    <row r="325" customFormat="false" ht="15" hidden="false" customHeight="tru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  <c r="J325" s="13"/>
      <c r="K325" s="12"/>
      <c r="L325" s="14"/>
      <c r="M325" s="15" t="str">
        <f aca="false">IF($L325="","",$L325+Einstellungen!$B$3)</f>
        <v/>
      </c>
      <c r="N325" s="15" t="str">
        <f aca="false">IF($L325="","",$L325+Einstellungen!$B$4)</f>
        <v/>
      </c>
      <c r="O325" s="15" t="str">
        <f aca="false">IF($L325="","",$L325+Einstellungen!$B$5)</f>
        <v/>
      </c>
      <c r="P325" s="16" t="str">
        <f aca="true">IF($B325="","",IF(OR($K325="Gewonnen",$K325="Verloren",$K325="Kein Interesse"),"abgeschlossen",IF(OR($K325="Neu",$K325="Recherchiert",$K325=""),"Erstkontakt vorbereiten",IF($K325="Kontaktiert",IF($L325="","Datum eintragen",IF(TODAY()&gt;=$O325,"Follow-up 3 fällig",IF(TODAY()&gt;=$N325,"Follow-up 2 fällig",IF(TODAY()&gt;=$M325,"Follow-up 1 fällig","warten")))),IF($K325="Antwort","Antworten",IF($K325="Gespräch","Nachbereiten",IF($K325="Angebot","Angebot nachfassen","")))))))</f>
        <v/>
      </c>
      <c r="Q325" s="17"/>
      <c r="R325" s="13"/>
    </row>
    <row r="326" customFormat="false" ht="15" hidden="false" customHeight="tru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  <c r="J326" s="13"/>
      <c r="K326" s="12"/>
      <c r="L326" s="14"/>
      <c r="M326" s="15" t="str">
        <f aca="false">IF($L326="","",$L326+Einstellungen!$B$3)</f>
        <v/>
      </c>
      <c r="N326" s="15" t="str">
        <f aca="false">IF($L326="","",$L326+Einstellungen!$B$4)</f>
        <v/>
      </c>
      <c r="O326" s="15" t="str">
        <f aca="false">IF($L326="","",$L326+Einstellungen!$B$5)</f>
        <v/>
      </c>
      <c r="P326" s="16" t="str">
        <f aca="true">IF($B326="","",IF(OR($K326="Gewonnen",$K326="Verloren",$K326="Kein Interesse"),"abgeschlossen",IF(OR($K326="Neu",$K326="Recherchiert",$K326=""),"Erstkontakt vorbereiten",IF($K326="Kontaktiert",IF($L326="","Datum eintragen",IF(TODAY()&gt;=$O326,"Follow-up 3 fällig",IF(TODAY()&gt;=$N326,"Follow-up 2 fällig",IF(TODAY()&gt;=$M326,"Follow-up 1 fällig","warten")))),IF($K326="Antwort","Antworten",IF($K326="Gespräch","Nachbereiten",IF($K326="Angebot","Angebot nachfassen","")))))))</f>
        <v/>
      </c>
      <c r="Q326" s="17"/>
      <c r="R326" s="13"/>
    </row>
    <row r="327" customFormat="false" ht="15" hidden="false" customHeight="tru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  <c r="J327" s="13"/>
      <c r="K327" s="12"/>
      <c r="L327" s="14"/>
      <c r="M327" s="15" t="str">
        <f aca="false">IF($L327="","",$L327+Einstellungen!$B$3)</f>
        <v/>
      </c>
      <c r="N327" s="15" t="str">
        <f aca="false">IF($L327="","",$L327+Einstellungen!$B$4)</f>
        <v/>
      </c>
      <c r="O327" s="15" t="str">
        <f aca="false">IF($L327="","",$L327+Einstellungen!$B$5)</f>
        <v/>
      </c>
      <c r="P327" s="16" t="str">
        <f aca="true">IF($B327="","",IF(OR($K327="Gewonnen",$K327="Verloren",$K327="Kein Interesse"),"abgeschlossen",IF(OR($K327="Neu",$K327="Recherchiert",$K327=""),"Erstkontakt vorbereiten",IF($K327="Kontaktiert",IF($L327="","Datum eintragen",IF(TODAY()&gt;=$O327,"Follow-up 3 fällig",IF(TODAY()&gt;=$N327,"Follow-up 2 fällig",IF(TODAY()&gt;=$M327,"Follow-up 1 fällig","warten")))),IF($K327="Antwort","Antworten",IF($K327="Gespräch","Nachbereiten",IF($K327="Angebot","Angebot nachfassen","")))))))</f>
        <v/>
      </c>
      <c r="Q327" s="17"/>
      <c r="R327" s="13"/>
    </row>
    <row r="328" customFormat="false" ht="15" hidden="false" customHeight="tru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  <c r="J328" s="13"/>
      <c r="K328" s="12"/>
      <c r="L328" s="14"/>
      <c r="M328" s="15" t="str">
        <f aca="false">IF($L328="","",$L328+Einstellungen!$B$3)</f>
        <v/>
      </c>
      <c r="N328" s="15" t="str">
        <f aca="false">IF($L328="","",$L328+Einstellungen!$B$4)</f>
        <v/>
      </c>
      <c r="O328" s="15" t="str">
        <f aca="false">IF($L328="","",$L328+Einstellungen!$B$5)</f>
        <v/>
      </c>
      <c r="P328" s="16" t="str">
        <f aca="true">IF($B328="","",IF(OR($K328="Gewonnen",$K328="Verloren",$K328="Kein Interesse"),"abgeschlossen",IF(OR($K328="Neu",$K328="Recherchiert",$K328=""),"Erstkontakt vorbereiten",IF($K328="Kontaktiert",IF($L328="","Datum eintragen",IF(TODAY()&gt;=$O328,"Follow-up 3 fällig",IF(TODAY()&gt;=$N328,"Follow-up 2 fällig",IF(TODAY()&gt;=$M328,"Follow-up 1 fällig","warten")))),IF($K328="Antwort","Antworten",IF($K328="Gespräch","Nachbereiten",IF($K328="Angebot","Angebot nachfassen","")))))))</f>
        <v/>
      </c>
      <c r="Q328" s="17"/>
      <c r="R328" s="13"/>
    </row>
    <row r="329" customFormat="false" ht="15" hidden="false" customHeight="tru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  <c r="J329" s="13"/>
      <c r="K329" s="12"/>
      <c r="L329" s="14"/>
      <c r="M329" s="15" t="str">
        <f aca="false">IF($L329="","",$L329+Einstellungen!$B$3)</f>
        <v/>
      </c>
      <c r="N329" s="15" t="str">
        <f aca="false">IF($L329="","",$L329+Einstellungen!$B$4)</f>
        <v/>
      </c>
      <c r="O329" s="15" t="str">
        <f aca="false">IF($L329="","",$L329+Einstellungen!$B$5)</f>
        <v/>
      </c>
      <c r="P329" s="16" t="str">
        <f aca="true">IF($B329="","",IF(OR($K329="Gewonnen",$K329="Verloren",$K329="Kein Interesse"),"abgeschlossen",IF(OR($K329="Neu",$K329="Recherchiert",$K329=""),"Erstkontakt vorbereiten",IF($K329="Kontaktiert",IF($L329="","Datum eintragen",IF(TODAY()&gt;=$O329,"Follow-up 3 fällig",IF(TODAY()&gt;=$N329,"Follow-up 2 fällig",IF(TODAY()&gt;=$M329,"Follow-up 1 fällig","warten")))),IF($K329="Antwort","Antworten",IF($K329="Gespräch","Nachbereiten",IF($K329="Angebot","Angebot nachfassen","")))))))</f>
        <v/>
      </c>
      <c r="Q329" s="17"/>
      <c r="R329" s="13"/>
    </row>
    <row r="330" customFormat="false" ht="15" hidden="false" customHeight="tru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  <c r="J330" s="13"/>
      <c r="K330" s="12"/>
      <c r="L330" s="14"/>
      <c r="M330" s="15" t="str">
        <f aca="false">IF($L330="","",$L330+Einstellungen!$B$3)</f>
        <v/>
      </c>
      <c r="N330" s="15" t="str">
        <f aca="false">IF($L330="","",$L330+Einstellungen!$B$4)</f>
        <v/>
      </c>
      <c r="O330" s="15" t="str">
        <f aca="false">IF($L330="","",$L330+Einstellungen!$B$5)</f>
        <v/>
      </c>
      <c r="P330" s="16" t="str">
        <f aca="true">IF($B330="","",IF(OR($K330="Gewonnen",$K330="Verloren",$K330="Kein Interesse"),"abgeschlossen",IF(OR($K330="Neu",$K330="Recherchiert",$K330=""),"Erstkontakt vorbereiten",IF($K330="Kontaktiert",IF($L330="","Datum eintragen",IF(TODAY()&gt;=$O330,"Follow-up 3 fällig",IF(TODAY()&gt;=$N330,"Follow-up 2 fällig",IF(TODAY()&gt;=$M330,"Follow-up 1 fällig","warten")))),IF($K330="Antwort","Antworten",IF($K330="Gespräch","Nachbereiten",IF($K330="Angebot","Angebot nachfassen","")))))))</f>
        <v/>
      </c>
      <c r="Q330" s="17"/>
      <c r="R330" s="13"/>
    </row>
    <row r="331" customFormat="false" ht="15" hidden="false" customHeight="tru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  <c r="J331" s="13"/>
      <c r="K331" s="12"/>
      <c r="L331" s="14"/>
      <c r="M331" s="15" t="str">
        <f aca="false">IF($L331="","",$L331+Einstellungen!$B$3)</f>
        <v/>
      </c>
      <c r="N331" s="15" t="str">
        <f aca="false">IF($L331="","",$L331+Einstellungen!$B$4)</f>
        <v/>
      </c>
      <c r="O331" s="15" t="str">
        <f aca="false">IF($L331="","",$L331+Einstellungen!$B$5)</f>
        <v/>
      </c>
      <c r="P331" s="16" t="str">
        <f aca="true">IF($B331="","",IF(OR($K331="Gewonnen",$K331="Verloren",$K331="Kein Interesse"),"abgeschlossen",IF(OR($K331="Neu",$K331="Recherchiert",$K331=""),"Erstkontakt vorbereiten",IF($K331="Kontaktiert",IF($L331="","Datum eintragen",IF(TODAY()&gt;=$O331,"Follow-up 3 fällig",IF(TODAY()&gt;=$N331,"Follow-up 2 fällig",IF(TODAY()&gt;=$M331,"Follow-up 1 fällig","warten")))),IF($K331="Antwort","Antworten",IF($K331="Gespräch","Nachbereiten",IF($K331="Angebot","Angebot nachfassen","")))))))</f>
        <v/>
      </c>
      <c r="Q331" s="17"/>
      <c r="R331" s="13"/>
    </row>
    <row r="332" customFormat="false" ht="15" hidden="false" customHeight="tru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  <c r="J332" s="13"/>
      <c r="K332" s="12"/>
      <c r="L332" s="14"/>
      <c r="M332" s="15" t="str">
        <f aca="false">IF($L332="","",$L332+Einstellungen!$B$3)</f>
        <v/>
      </c>
      <c r="N332" s="15" t="str">
        <f aca="false">IF($L332="","",$L332+Einstellungen!$B$4)</f>
        <v/>
      </c>
      <c r="O332" s="15" t="str">
        <f aca="false">IF($L332="","",$L332+Einstellungen!$B$5)</f>
        <v/>
      </c>
      <c r="P332" s="16" t="str">
        <f aca="true">IF($B332="","",IF(OR($K332="Gewonnen",$K332="Verloren",$K332="Kein Interesse"),"abgeschlossen",IF(OR($K332="Neu",$K332="Recherchiert",$K332=""),"Erstkontakt vorbereiten",IF($K332="Kontaktiert",IF($L332="","Datum eintragen",IF(TODAY()&gt;=$O332,"Follow-up 3 fällig",IF(TODAY()&gt;=$N332,"Follow-up 2 fällig",IF(TODAY()&gt;=$M332,"Follow-up 1 fällig","warten")))),IF($K332="Antwort","Antworten",IF($K332="Gespräch","Nachbereiten",IF($K332="Angebot","Angebot nachfassen","")))))))</f>
        <v/>
      </c>
      <c r="Q332" s="17"/>
      <c r="R332" s="13"/>
    </row>
    <row r="333" customFormat="false" ht="15" hidden="false" customHeight="tru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  <c r="J333" s="13"/>
      <c r="K333" s="12"/>
      <c r="L333" s="14"/>
      <c r="M333" s="15" t="str">
        <f aca="false">IF($L333="","",$L333+Einstellungen!$B$3)</f>
        <v/>
      </c>
      <c r="N333" s="15" t="str">
        <f aca="false">IF($L333="","",$L333+Einstellungen!$B$4)</f>
        <v/>
      </c>
      <c r="O333" s="15" t="str">
        <f aca="false">IF($L333="","",$L333+Einstellungen!$B$5)</f>
        <v/>
      </c>
      <c r="P333" s="16" t="str">
        <f aca="true">IF($B333="","",IF(OR($K333="Gewonnen",$K333="Verloren",$K333="Kein Interesse"),"abgeschlossen",IF(OR($K333="Neu",$K333="Recherchiert",$K333=""),"Erstkontakt vorbereiten",IF($K333="Kontaktiert",IF($L333="","Datum eintragen",IF(TODAY()&gt;=$O333,"Follow-up 3 fällig",IF(TODAY()&gt;=$N333,"Follow-up 2 fällig",IF(TODAY()&gt;=$M333,"Follow-up 1 fällig","warten")))),IF($K333="Antwort","Antworten",IF($K333="Gespräch","Nachbereiten",IF($K333="Angebot","Angebot nachfassen","")))))))</f>
        <v/>
      </c>
      <c r="Q333" s="17"/>
      <c r="R333" s="13"/>
    </row>
    <row r="334" customFormat="false" ht="15" hidden="false" customHeight="tru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  <c r="J334" s="13"/>
      <c r="K334" s="12"/>
      <c r="L334" s="14"/>
      <c r="M334" s="15" t="str">
        <f aca="false">IF($L334="","",$L334+Einstellungen!$B$3)</f>
        <v/>
      </c>
      <c r="N334" s="15" t="str">
        <f aca="false">IF($L334="","",$L334+Einstellungen!$B$4)</f>
        <v/>
      </c>
      <c r="O334" s="15" t="str">
        <f aca="false">IF($L334="","",$L334+Einstellungen!$B$5)</f>
        <v/>
      </c>
      <c r="P334" s="16" t="str">
        <f aca="true">IF($B334="","",IF(OR($K334="Gewonnen",$K334="Verloren",$K334="Kein Interesse"),"abgeschlossen",IF(OR($K334="Neu",$K334="Recherchiert",$K334=""),"Erstkontakt vorbereiten",IF($K334="Kontaktiert",IF($L334="","Datum eintragen",IF(TODAY()&gt;=$O334,"Follow-up 3 fällig",IF(TODAY()&gt;=$N334,"Follow-up 2 fällig",IF(TODAY()&gt;=$M334,"Follow-up 1 fällig","warten")))),IF($K334="Antwort","Antworten",IF($K334="Gespräch","Nachbereiten",IF($K334="Angebot","Angebot nachfassen","")))))))</f>
        <v/>
      </c>
      <c r="Q334" s="17"/>
      <c r="R334" s="13"/>
    </row>
    <row r="335" customFormat="false" ht="15" hidden="false" customHeight="tru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  <c r="J335" s="13"/>
      <c r="K335" s="12"/>
      <c r="L335" s="14"/>
      <c r="M335" s="15" t="str">
        <f aca="false">IF($L335="","",$L335+Einstellungen!$B$3)</f>
        <v/>
      </c>
      <c r="N335" s="15" t="str">
        <f aca="false">IF($L335="","",$L335+Einstellungen!$B$4)</f>
        <v/>
      </c>
      <c r="O335" s="15" t="str">
        <f aca="false">IF($L335="","",$L335+Einstellungen!$B$5)</f>
        <v/>
      </c>
      <c r="P335" s="16" t="str">
        <f aca="true">IF($B335="","",IF(OR($K335="Gewonnen",$K335="Verloren",$K335="Kein Interesse"),"abgeschlossen",IF(OR($K335="Neu",$K335="Recherchiert",$K335=""),"Erstkontakt vorbereiten",IF($K335="Kontaktiert",IF($L335="","Datum eintragen",IF(TODAY()&gt;=$O335,"Follow-up 3 fällig",IF(TODAY()&gt;=$N335,"Follow-up 2 fällig",IF(TODAY()&gt;=$M335,"Follow-up 1 fällig","warten")))),IF($K335="Antwort","Antworten",IF($K335="Gespräch","Nachbereiten",IF($K335="Angebot","Angebot nachfassen","")))))))</f>
        <v/>
      </c>
      <c r="Q335" s="17"/>
      <c r="R335" s="13"/>
    </row>
    <row r="336" customFormat="false" ht="15" hidden="false" customHeight="tru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  <c r="J336" s="13"/>
      <c r="K336" s="12"/>
      <c r="L336" s="14"/>
      <c r="M336" s="15" t="str">
        <f aca="false">IF($L336="","",$L336+Einstellungen!$B$3)</f>
        <v/>
      </c>
      <c r="N336" s="15" t="str">
        <f aca="false">IF($L336="","",$L336+Einstellungen!$B$4)</f>
        <v/>
      </c>
      <c r="O336" s="15" t="str">
        <f aca="false">IF($L336="","",$L336+Einstellungen!$B$5)</f>
        <v/>
      </c>
      <c r="P336" s="16" t="str">
        <f aca="true">IF($B336="","",IF(OR($K336="Gewonnen",$K336="Verloren",$K336="Kein Interesse"),"abgeschlossen",IF(OR($K336="Neu",$K336="Recherchiert",$K336=""),"Erstkontakt vorbereiten",IF($K336="Kontaktiert",IF($L336="","Datum eintragen",IF(TODAY()&gt;=$O336,"Follow-up 3 fällig",IF(TODAY()&gt;=$N336,"Follow-up 2 fällig",IF(TODAY()&gt;=$M336,"Follow-up 1 fällig","warten")))),IF($K336="Antwort","Antworten",IF($K336="Gespräch","Nachbereiten",IF($K336="Angebot","Angebot nachfassen","")))))))</f>
        <v/>
      </c>
      <c r="Q336" s="17"/>
      <c r="R336" s="13"/>
    </row>
    <row r="337" customFormat="false" ht="15" hidden="false" customHeight="tru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  <c r="J337" s="13"/>
      <c r="K337" s="12"/>
      <c r="L337" s="14"/>
      <c r="M337" s="15" t="str">
        <f aca="false">IF($L337="","",$L337+Einstellungen!$B$3)</f>
        <v/>
      </c>
      <c r="N337" s="15" t="str">
        <f aca="false">IF($L337="","",$L337+Einstellungen!$B$4)</f>
        <v/>
      </c>
      <c r="O337" s="15" t="str">
        <f aca="false">IF($L337="","",$L337+Einstellungen!$B$5)</f>
        <v/>
      </c>
      <c r="P337" s="16" t="str">
        <f aca="true">IF($B337="","",IF(OR($K337="Gewonnen",$K337="Verloren",$K337="Kein Interesse"),"abgeschlossen",IF(OR($K337="Neu",$K337="Recherchiert",$K337=""),"Erstkontakt vorbereiten",IF($K337="Kontaktiert",IF($L337="","Datum eintragen",IF(TODAY()&gt;=$O337,"Follow-up 3 fällig",IF(TODAY()&gt;=$N337,"Follow-up 2 fällig",IF(TODAY()&gt;=$M337,"Follow-up 1 fällig","warten")))),IF($K337="Antwort","Antworten",IF($K337="Gespräch","Nachbereiten",IF($K337="Angebot","Angebot nachfassen","")))))))</f>
        <v/>
      </c>
      <c r="Q337" s="17"/>
      <c r="R337" s="13"/>
    </row>
    <row r="338" customFormat="false" ht="15" hidden="false" customHeight="tru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  <c r="J338" s="13"/>
      <c r="K338" s="12"/>
      <c r="L338" s="14"/>
      <c r="M338" s="15" t="str">
        <f aca="false">IF($L338="","",$L338+Einstellungen!$B$3)</f>
        <v/>
      </c>
      <c r="N338" s="15" t="str">
        <f aca="false">IF($L338="","",$L338+Einstellungen!$B$4)</f>
        <v/>
      </c>
      <c r="O338" s="15" t="str">
        <f aca="false">IF($L338="","",$L338+Einstellungen!$B$5)</f>
        <v/>
      </c>
      <c r="P338" s="16" t="str">
        <f aca="true">IF($B338="","",IF(OR($K338="Gewonnen",$K338="Verloren",$K338="Kein Interesse"),"abgeschlossen",IF(OR($K338="Neu",$K338="Recherchiert",$K338=""),"Erstkontakt vorbereiten",IF($K338="Kontaktiert",IF($L338="","Datum eintragen",IF(TODAY()&gt;=$O338,"Follow-up 3 fällig",IF(TODAY()&gt;=$N338,"Follow-up 2 fällig",IF(TODAY()&gt;=$M338,"Follow-up 1 fällig","warten")))),IF($K338="Antwort","Antworten",IF($K338="Gespräch","Nachbereiten",IF($K338="Angebot","Angebot nachfassen","")))))))</f>
        <v/>
      </c>
      <c r="Q338" s="17"/>
      <c r="R338" s="13"/>
    </row>
    <row r="339" customFormat="false" ht="15" hidden="false" customHeight="tru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  <c r="J339" s="13"/>
      <c r="K339" s="12"/>
      <c r="L339" s="14"/>
      <c r="M339" s="15" t="str">
        <f aca="false">IF($L339="","",$L339+Einstellungen!$B$3)</f>
        <v/>
      </c>
      <c r="N339" s="15" t="str">
        <f aca="false">IF($L339="","",$L339+Einstellungen!$B$4)</f>
        <v/>
      </c>
      <c r="O339" s="15" t="str">
        <f aca="false">IF($L339="","",$L339+Einstellungen!$B$5)</f>
        <v/>
      </c>
      <c r="P339" s="16" t="str">
        <f aca="true">IF($B339="","",IF(OR($K339="Gewonnen",$K339="Verloren",$K339="Kein Interesse"),"abgeschlossen",IF(OR($K339="Neu",$K339="Recherchiert",$K339=""),"Erstkontakt vorbereiten",IF($K339="Kontaktiert",IF($L339="","Datum eintragen",IF(TODAY()&gt;=$O339,"Follow-up 3 fällig",IF(TODAY()&gt;=$N339,"Follow-up 2 fällig",IF(TODAY()&gt;=$M339,"Follow-up 1 fällig","warten")))),IF($K339="Antwort","Antworten",IF($K339="Gespräch","Nachbereiten",IF($K339="Angebot","Angebot nachfassen","")))))))</f>
        <v/>
      </c>
      <c r="Q339" s="17"/>
      <c r="R339" s="13"/>
    </row>
    <row r="340" customFormat="false" ht="15" hidden="false" customHeight="tru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  <c r="J340" s="13"/>
      <c r="K340" s="12"/>
      <c r="L340" s="14"/>
      <c r="M340" s="15" t="str">
        <f aca="false">IF($L340="","",$L340+Einstellungen!$B$3)</f>
        <v/>
      </c>
      <c r="N340" s="15" t="str">
        <f aca="false">IF($L340="","",$L340+Einstellungen!$B$4)</f>
        <v/>
      </c>
      <c r="O340" s="15" t="str">
        <f aca="false">IF($L340="","",$L340+Einstellungen!$B$5)</f>
        <v/>
      </c>
      <c r="P340" s="16" t="str">
        <f aca="true">IF($B340="","",IF(OR($K340="Gewonnen",$K340="Verloren",$K340="Kein Interesse"),"abgeschlossen",IF(OR($K340="Neu",$K340="Recherchiert",$K340=""),"Erstkontakt vorbereiten",IF($K340="Kontaktiert",IF($L340="","Datum eintragen",IF(TODAY()&gt;=$O340,"Follow-up 3 fällig",IF(TODAY()&gt;=$N340,"Follow-up 2 fällig",IF(TODAY()&gt;=$M340,"Follow-up 1 fällig","warten")))),IF($K340="Antwort","Antworten",IF($K340="Gespräch","Nachbereiten",IF($K340="Angebot","Angebot nachfassen","")))))))</f>
        <v/>
      </c>
      <c r="Q340" s="17"/>
      <c r="R340" s="13"/>
    </row>
    <row r="341" customFormat="false" ht="15" hidden="false" customHeight="tru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  <c r="J341" s="13"/>
      <c r="K341" s="12"/>
      <c r="L341" s="14"/>
      <c r="M341" s="15" t="str">
        <f aca="false">IF($L341="","",$L341+Einstellungen!$B$3)</f>
        <v/>
      </c>
      <c r="N341" s="15" t="str">
        <f aca="false">IF($L341="","",$L341+Einstellungen!$B$4)</f>
        <v/>
      </c>
      <c r="O341" s="15" t="str">
        <f aca="false">IF($L341="","",$L341+Einstellungen!$B$5)</f>
        <v/>
      </c>
      <c r="P341" s="16" t="str">
        <f aca="true">IF($B341="","",IF(OR($K341="Gewonnen",$K341="Verloren",$K341="Kein Interesse"),"abgeschlossen",IF(OR($K341="Neu",$K341="Recherchiert",$K341=""),"Erstkontakt vorbereiten",IF($K341="Kontaktiert",IF($L341="","Datum eintragen",IF(TODAY()&gt;=$O341,"Follow-up 3 fällig",IF(TODAY()&gt;=$N341,"Follow-up 2 fällig",IF(TODAY()&gt;=$M341,"Follow-up 1 fällig","warten")))),IF($K341="Antwort","Antworten",IF($K341="Gespräch","Nachbereiten",IF($K341="Angebot","Angebot nachfassen","")))))))</f>
        <v/>
      </c>
      <c r="Q341" s="17"/>
      <c r="R341" s="13"/>
    </row>
    <row r="342" customFormat="false" ht="15" hidden="false" customHeight="tru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  <c r="J342" s="13"/>
      <c r="K342" s="12"/>
      <c r="L342" s="14"/>
      <c r="M342" s="15" t="str">
        <f aca="false">IF($L342="","",$L342+Einstellungen!$B$3)</f>
        <v/>
      </c>
      <c r="N342" s="15" t="str">
        <f aca="false">IF($L342="","",$L342+Einstellungen!$B$4)</f>
        <v/>
      </c>
      <c r="O342" s="15" t="str">
        <f aca="false">IF($L342="","",$L342+Einstellungen!$B$5)</f>
        <v/>
      </c>
      <c r="P342" s="16" t="str">
        <f aca="true">IF($B342="","",IF(OR($K342="Gewonnen",$K342="Verloren",$K342="Kein Interesse"),"abgeschlossen",IF(OR($K342="Neu",$K342="Recherchiert",$K342=""),"Erstkontakt vorbereiten",IF($K342="Kontaktiert",IF($L342="","Datum eintragen",IF(TODAY()&gt;=$O342,"Follow-up 3 fällig",IF(TODAY()&gt;=$N342,"Follow-up 2 fällig",IF(TODAY()&gt;=$M342,"Follow-up 1 fällig","warten")))),IF($K342="Antwort","Antworten",IF($K342="Gespräch","Nachbereiten",IF($K342="Angebot","Angebot nachfassen","")))))))</f>
        <v/>
      </c>
      <c r="Q342" s="17"/>
      <c r="R342" s="13"/>
    </row>
    <row r="343" customFormat="false" ht="15" hidden="false" customHeight="tru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3"/>
      <c r="K343" s="12"/>
      <c r="L343" s="14"/>
      <c r="M343" s="15" t="str">
        <f aca="false">IF($L343="","",$L343+Einstellungen!$B$3)</f>
        <v/>
      </c>
      <c r="N343" s="15" t="str">
        <f aca="false">IF($L343="","",$L343+Einstellungen!$B$4)</f>
        <v/>
      </c>
      <c r="O343" s="15" t="str">
        <f aca="false">IF($L343="","",$L343+Einstellungen!$B$5)</f>
        <v/>
      </c>
      <c r="P343" s="16" t="str">
        <f aca="true">IF($B343="","",IF(OR($K343="Gewonnen",$K343="Verloren",$K343="Kein Interesse"),"abgeschlossen",IF(OR($K343="Neu",$K343="Recherchiert",$K343=""),"Erstkontakt vorbereiten",IF($K343="Kontaktiert",IF($L343="","Datum eintragen",IF(TODAY()&gt;=$O343,"Follow-up 3 fällig",IF(TODAY()&gt;=$N343,"Follow-up 2 fällig",IF(TODAY()&gt;=$M343,"Follow-up 1 fällig","warten")))),IF($K343="Antwort","Antworten",IF($K343="Gespräch","Nachbereiten",IF($K343="Angebot","Angebot nachfassen","")))))))</f>
        <v/>
      </c>
      <c r="Q343" s="17"/>
      <c r="R343" s="13"/>
    </row>
    <row r="344" customFormat="false" ht="15" hidden="false" customHeight="tru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3"/>
      <c r="K344" s="12"/>
      <c r="L344" s="14"/>
      <c r="M344" s="15" t="str">
        <f aca="false">IF($L344="","",$L344+Einstellungen!$B$3)</f>
        <v/>
      </c>
      <c r="N344" s="15" t="str">
        <f aca="false">IF($L344="","",$L344+Einstellungen!$B$4)</f>
        <v/>
      </c>
      <c r="O344" s="15" t="str">
        <f aca="false">IF($L344="","",$L344+Einstellungen!$B$5)</f>
        <v/>
      </c>
      <c r="P344" s="16" t="str">
        <f aca="true">IF($B344="","",IF(OR($K344="Gewonnen",$K344="Verloren",$K344="Kein Interesse"),"abgeschlossen",IF(OR($K344="Neu",$K344="Recherchiert",$K344=""),"Erstkontakt vorbereiten",IF($K344="Kontaktiert",IF($L344="","Datum eintragen",IF(TODAY()&gt;=$O344,"Follow-up 3 fällig",IF(TODAY()&gt;=$N344,"Follow-up 2 fällig",IF(TODAY()&gt;=$M344,"Follow-up 1 fällig","warten")))),IF($K344="Antwort","Antworten",IF($K344="Gespräch","Nachbereiten",IF($K344="Angebot","Angebot nachfassen","")))))))</f>
        <v/>
      </c>
      <c r="Q344" s="17"/>
      <c r="R344" s="13"/>
    </row>
    <row r="345" customFormat="false" ht="15" hidden="false" customHeight="tru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3"/>
      <c r="K345" s="12"/>
      <c r="L345" s="14"/>
      <c r="M345" s="15" t="str">
        <f aca="false">IF($L345="","",$L345+Einstellungen!$B$3)</f>
        <v/>
      </c>
      <c r="N345" s="15" t="str">
        <f aca="false">IF($L345="","",$L345+Einstellungen!$B$4)</f>
        <v/>
      </c>
      <c r="O345" s="15" t="str">
        <f aca="false">IF($L345="","",$L345+Einstellungen!$B$5)</f>
        <v/>
      </c>
      <c r="P345" s="16" t="str">
        <f aca="true">IF($B345="","",IF(OR($K345="Gewonnen",$K345="Verloren",$K345="Kein Interesse"),"abgeschlossen",IF(OR($K345="Neu",$K345="Recherchiert",$K345=""),"Erstkontakt vorbereiten",IF($K345="Kontaktiert",IF($L345="","Datum eintragen",IF(TODAY()&gt;=$O345,"Follow-up 3 fällig",IF(TODAY()&gt;=$N345,"Follow-up 2 fällig",IF(TODAY()&gt;=$M345,"Follow-up 1 fällig","warten")))),IF($K345="Antwort","Antworten",IF($K345="Gespräch","Nachbereiten",IF($K345="Angebot","Angebot nachfassen","")))))))</f>
        <v/>
      </c>
      <c r="Q345" s="17"/>
      <c r="R345" s="13"/>
    </row>
    <row r="346" customFormat="false" ht="15" hidden="false" customHeight="tru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3"/>
      <c r="K346" s="12"/>
      <c r="L346" s="14"/>
      <c r="M346" s="15" t="str">
        <f aca="false">IF($L346="","",$L346+Einstellungen!$B$3)</f>
        <v/>
      </c>
      <c r="N346" s="15" t="str">
        <f aca="false">IF($L346="","",$L346+Einstellungen!$B$4)</f>
        <v/>
      </c>
      <c r="O346" s="15" t="str">
        <f aca="false">IF($L346="","",$L346+Einstellungen!$B$5)</f>
        <v/>
      </c>
      <c r="P346" s="16" t="str">
        <f aca="true">IF($B346="","",IF(OR($K346="Gewonnen",$K346="Verloren",$K346="Kein Interesse"),"abgeschlossen",IF(OR($K346="Neu",$K346="Recherchiert",$K346=""),"Erstkontakt vorbereiten",IF($K346="Kontaktiert",IF($L346="","Datum eintragen",IF(TODAY()&gt;=$O346,"Follow-up 3 fällig",IF(TODAY()&gt;=$N346,"Follow-up 2 fällig",IF(TODAY()&gt;=$M346,"Follow-up 1 fällig","warten")))),IF($K346="Antwort","Antworten",IF($K346="Gespräch","Nachbereiten",IF($K346="Angebot","Angebot nachfassen","")))))))</f>
        <v/>
      </c>
      <c r="Q346" s="17"/>
      <c r="R346" s="13"/>
    </row>
    <row r="347" customFormat="false" ht="15" hidden="false" customHeight="tru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3"/>
      <c r="K347" s="12"/>
      <c r="L347" s="14"/>
      <c r="M347" s="15" t="str">
        <f aca="false">IF($L347="","",$L347+Einstellungen!$B$3)</f>
        <v/>
      </c>
      <c r="N347" s="15" t="str">
        <f aca="false">IF($L347="","",$L347+Einstellungen!$B$4)</f>
        <v/>
      </c>
      <c r="O347" s="15" t="str">
        <f aca="false">IF($L347="","",$L347+Einstellungen!$B$5)</f>
        <v/>
      </c>
      <c r="P347" s="16" t="str">
        <f aca="true">IF($B347="","",IF(OR($K347="Gewonnen",$K347="Verloren",$K347="Kein Interesse"),"abgeschlossen",IF(OR($K347="Neu",$K347="Recherchiert",$K347=""),"Erstkontakt vorbereiten",IF($K347="Kontaktiert",IF($L347="","Datum eintragen",IF(TODAY()&gt;=$O347,"Follow-up 3 fällig",IF(TODAY()&gt;=$N347,"Follow-up 2 fällig",IF(TODAY()&gt;=$M347,"Follow-up 1 fällig","warten")))),IF($K347="Antwort","Antworten",IF($K347="Gespräch","Nachbereiten",IF($K347="Angebot","Angebot nachfassen","")))))))</f>
        <v/>
      </c>
      <c r="Q347" s="17"/>
      <c r="R347" s="13"/>
    </row>
    <row r="348" customFormat="false" ht="15" hidden="false" customHeight="tru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3"/>
      <c r="K348" s="12"/>
      <c r="L348" s="14"/>
      <c r="M348" s="15" t="str">
        <f aca="false">IF($L348="","",$L348+Einstellungen!$B$3)</f>
        <v/>
      </c>
      <c r="N348" s="15" t="str">
        <f aca="false">IF($L348="","",$L348+Einstellungen!$B$4)</f>
        <v/>
      </c>
      <c r="O348" s="15" t="str">
        <f aca="false">IF($L348="","",$L348+Einstellungen!$B$5)</f>
        <v/>
      </c>
      <c r="P348" s="16" t="str">
        <f aca="true">IF($B348="","",IF(OR($K348="Gewonnen",$K348="Verloren",$K348="Kein Interesse"),"abgeschlossen",IF(OR($K348="Neu",$K348="Recherchiert",$K348=""),"Erstkontakt vorbereiten",IF($K348="Kontaktiert",IF($L348="","Datum eintragen",IF(TODAY()&gt;=$O348,"Follow-up 3 fällig",IF(TODAY()&gt;=$N348,"Follow-up 2 fällig",IF(TODAY()&gt;=$M348,"Follow-up 1 fällig","warten")))),IF($K348="Antwort","Antworten",IF($K348="Gespräch","Nachbereiten",IF($K348="Angebot","Angebot nachfassen","")))))))</f>
        <v/>
      </c>
      <c r="Q348" s="17"/>
      <c r="R348" s="13"/>
    </row>
    <row r="349" customFormat="false" ht="15" hidden="false" customHeight="tru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3"/>
      <c r="K349" s="12"/>
      <c r="L349" s="14"/>
      <c r="M349" s="15" t="str">
        <f aca="false">IF($L349="","",$L349+Einstellungen!$B$3)</f>
        <v/>
      </c>
      <c r="N349" s="15" t="str">
        <f aca="false">IF($L349="","",$L349+Einstellungen!$B$4)</f>
        <v/>
      </c>
      <c r="O349" s="15" t="str">
        <f aca="false">IF($L349="","",$L349+Einstellungen!$B$5)</f>
        <v/>
      </c>
      <c r="P349" s="16" t="str">
        <f aca="true">IF($B349="","",IF(OR($K349="Gewonnen",$K349="Verloren",$K349="Kein Interesse"),"abgeschlossen",IF(OR($K349="Neu",$K349="Recherchiert",$K349=""),"Erstkontakt vorbereiten",IF($K349="Kontaktiert",IF($L349="","Datum eintragen",IF(TODAY()&gt;=$O349,"Follow-up 3 fällig",IF(TODAY()&gt;=$N349,"Follow-up 2 fällig",IF(TODAY()&gt;=$M349,"Follow-up 1 fällig","warten")))),IF($K349="Antwort","Antworten",IF($K349="Gespräch","Nachbereiten",IF($K349="Angebot","Angebot nachfassen","")))))))</f>
        <v/>
      </c>
      <c r="Q349" s="17"/>
      <c r="R349" s="13"/>
    </row>
    <row r="350" customFormat="false" ht="15" hidden="false" customHeight="tru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3"/>
      <c r="K350" s="12"/>
      <c r="L350" s="14"/>
      <c r="M350" s="15" t="str">
        <f aca="false">IF($L350="","",$L350+Einstellungen!$B$3)</f>
        <v/>
      </c>
      <c r="N350" s="15" t="str">
        <f aca="false">IF($L350="","",$L350+Einstellungen!$B$4)</f>
        <v/>
      </c>
      <c r="O350" s="15" t="str">
        <f aca="false">IF($L350="","",$L350+Einstellungen!$B$5)</f>
        <v/>
      </c>
      <c r="P350" s="16" t="str">
        <f aca="true">IF($B350="","",IF(OR($K350="Gewonnen",$K350="Verloren",$K350="Kein Interesse"),"abgeschlossen",IF(OR($K350="Neu",$K350="Recherchiert",$K350=""),"Erstkontakt vorbereiten",IF($K350="Kontaktiert",IF($L350="","Datum eintragen",IF(TODAY()&gt;=$O350,"Follow-up 3 fällig",IF(TODAY()&gt;=$N350,"Follow-up 2 fällig",IF(TODAY()&gt;=$M350,"Follow-up 1 fällig","warten")))),IF($K350="Antwort","Antworten",IF($K350="Gespräch","Nachbereiten",IF($K350="Angebot","Angebot nachfassen","")))))))</f>
        <v/>
      </c>
      <c r="Q350" s="17"/>
      <c r="R350" s="13"/>
    </row>
    <row r="351" customFormat="false" ht="15" hidden="false" customHeight="tru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3"/>
      <c r="K351" s="12"/>
      <c r="L351" s="14"/>
      <c r="M351" s="15" t="str">
        <f aca="false">IF($L351="","",$L351+Einstellungen!$B$3)</f>
        <v/>
      </c>
      <c r="N351" s="15" t="str">
        <f aca="false">IF($L351="","",$L351+Einstellungen!$B$4)</f>
        <v/>
      </c>
      <c r="O351" s="15" t="str">
        <f aca="false">IF($L351="","",$L351+Einstellungen!$B$5)</f>
        <v/>
      </c>
      <c r="P351" s="16" t="str">
        <f aca="true">IF($B351="","",IF(OR($K351="Gewonnen",$K351="Verloren",$K351="Kein Interesse"),"abgeschlossen",IF(OR($K351="Neu",$K351="Recherchiert",$K351=""),"Erstkontakt vorbereiten",IF($K351="Kontaktiert",IF($L351="","Datum eintragen",IF(TODAY()&gt;=$O351,"Follow-up 3 fällig",IF(TODAY()&gt;=$N351,"Follow-up 2 fällig",IF(TODAY()&gt;=$M351,"Follow-up 1 fällig","warten")))),IF($K351="Antwort","Antworten",IF($K351="Gespräch","Nachbereiten",IF($K351="Angebot","Angebot nachfassen","")))))))</f>
        <v/>
      </c>
      <c r="Q351" s="17"/>
      <c r="R351" s="13"/>
    </row>
    <row r="352" customFormat="false" ht="15" hidden="false" customHeight="tru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3"/>
      <c r="K352" s="12"/>
      <c r="L352" s="14"/>
      <c r="M352" s="15" t="str">
        <f aca="false">IF($L352="","",$L352+Einstellungen!$B$3)</f>
        <v/>
      </c>
      <c r="N352" s="15" t="str">
        <f aca="false">IF($L352="","",$L352+Einstellungen!$B$4)</f>
        <v/>
      </c>
      <c r="O352" s="15" t="str">
        <f aca="false">IF($L352="","",$L352+Einstellungen!$B$5)</f>
        <v/>
      </c>
      <c r="P352" s="16" t="str">
        <f aca="true">IF($B352="","",IF(OR($K352="Gewonnen",$K352="Verloren",$K352="Kein Interesse"),"abgeschlossen",IF(OR($K352="Neu",$K352="Recherchiert",$K352=""),"Erstkontakt vorbereiten",IF($K352="Kontaktiert",IF($L352="","Datum eintragen",IF(TODAY()&gt;=$O352,"Follow-up 3 fällig",IF(TODAY()&gt;=$N352,"Follow-up 2 fällig",IF(TODAY()&gt;=$M352,"Follow-up 1 fällig","warten")))),IF($K352="Antwort","Antworten",IF($K352="Gespräch","Nachbereiten",IF($K352="Angebot","Angebot nachfassen","")))))))</f>
        <v/>
      </c>
      <c r="Q352" s="17"/>
      <c r="R352" s="13"/>
    </row>
    <row r="353" customFormat="false" ht="15" hidden="false" customHeight="tru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3"/>
      <c r="K353" s="12"/>
      <c r="L353" s="14"/>
      <c r="M353" s="15" t="str">
        <f aca="false">IF($L353="","",$L353+Einstellungen!$B$3)</f>
        <v/>
      </c>
      <c r="N353" s="15" t="str">
        <f aca="false">IF($L353="","",$L353+Einstellungen!$B$4)</f>
        <v/>
      </c>
      <c r="O353" s="15" t="str">
        <f aca="false">IF($L353="","",$L353+Einstellungen!$B$5)</f>
        <v/>
      </c>
      <c r="P353" s="16" t="str">
        <f aca="true">IF($B353="","",IF(OR($K353="Gewonnen",$K353="Verloren",$K353="Kein Interesse"),"abgeschlossen",IF(OR($K353="Neu",$K353="Recherchiert",$K353=""),"Erstkontakt vorbereiten",IF($K353="Kontaktiert",IF($L353="","Datum eintragen",IF(TODAY()&gt;=$O353,"Follow-up 3 fällig",IF(TODAY()&gt;=$N353,"Follow-up 2 fällig",IF(TODAY()&gt;=$M353,"Follow-up 1 fällig","warten")))),IF($K353="Antwort","Antworten",IF($K353="Gespräch","Nachbereiten",IF($K353="Angebot","Angebot nachfassen","")))))))</f>
        <v/>
      </c>
      <c r="Q353" s="17"/>
      <c r="R353" s="13"/>
    </row>
    <row r="354" customFormat="false" ht="15" hidden="false" customHeight="tru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3"/>
      <c r="K354" s="12"/>
      <c r="L354" s="14"/>
      <c r="M354" s="15" t="str">
        <f aca="false">IF($L354="","",$L354+Einstellungen!$B$3)</f>
        <v/>
      </c>
      <c r="N354" s="15" t="str">
        <f aca="false">IF($L354="","",$L354+Einstellungen!$B$4)</f>
        <v/>
      </c>
      <c r="O354" s="15" t="str">
        <f aca="false">IF($L354="","",$L354+Einstellungen!$B$5)</f>
        <v/>
      </c>
      <c r="P354" s="16" t="str">
        <f aca="true">IF($B354="","",IF(OR($K354="Gewonnen",$K354="Verloren",$K354="Kein Interesse"),"abgeschlossen",IF(OR($K354="Neu",$K354="Recherchiert",$K354=""),"Erstkontakt vorbereiten",IF($K354="Kontaktiert",IF($L354="","Datum eintragen",IF(TODAY()&gt;=$O354,"Follow-up 3 fällig",IF(TODAY()&gt;=$N354,"Follow-up 2 fällig",IF(TODAY()&gt;=$M354,"Follow-up 1 fällig","warten")))),IF($K354="Antwort","Antworten",IF($K354="Gespräch","Nachbereiten",IF($K354="Angebot","Angebot nachfassen","")))))))</f>
        <v/>
      </c>
      <c r="Q354" s="17"/>
      <c r="R354" s="13"/>
    </row>
    <row r="355" customFormat="false" ht="15" hidden="false" customHeight="tru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3"/>
      <c r="K355" s="12"/>
      <c r="L355" s="14"/>
      <c r="M355" s="15" t="str">
        <f aca="false">IF($L355="","",$L355+Einstellungen!$B$3)</f>
        <v/>
      </c>
      <c r="N355" s="15" t="str">
        <f aca="false">IF($L355="","",$L355+Einstellungen!$B$4)</f>
        <v/>
      </c>
      <c r="O355" s="15" t="str">
        <f aca="false">IF($L355="","",$L355+Einstellungen!$B$5)</f>
        <v/>
      </c>
      <c r="P355" s="16" t="str">
        <f aca="true">IF($B355="","",IF(OR($K355="Gewonnen",$K355="Verloren",$K355="Kein Interesse"),"abgeschlossen",IF(OR($K355="Neu",$K355="Recherchiert",$K355=""),"Erstkontakt vorbereiten",IF($K355="Kontaktiert",IF($L355="","Datum eintragen",IF(TODAY()&gt;=$O355,"Follow-up 3 fällig",IF(TODAY()&gt;=$N355,"Follow-up 2 fällig",IF(TODAY()&gt;=$M355,"Follow-up 1 fällig","warten")))),IF($K355="Antwort","Antworten",IF($K355="Gespräch","Nachbereiten",IF($K355="Angebot","Angebot nachfassen","")))))))</f>
        <v/>
      </c>
      <c r="Q355" s="17"/>
      <c r="R355" s="13"/>
    </row>
    <row r="356" customFormat="false" ht="15" hidden="false" customHeight="tru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3"/>
      <c r="K356" s="12"/>
      <c r="L356" s="14"/>
      <c r="M356" s="15" t="str">
        <f aca="false">IF($L356="","",$L356+Einstellungen!$B$3)</f>
        <v/>
      </c>
      <c r="N356" s="15" t="str">
        <f aca="false">IF($L356="","",$L356+Einstellungen!$B$4)</f>
        <v/>
      </c>
      <c r="O356" s="15" t="str">
        <f aca="false">IF($L356="","",$L356+Einstellungen!$B$5)</f>
        <v/>
      </c>
      <c r="P356" s="16" t="str">
        <f aca="true">IF($B356="","",IF(OR($K356="Gewonnen",$K356="Verloren",$K356="Kein Interesse"),"abgeschlossen",IF(OR($K356="Neu",$K356="Recherchiert",$K356=""),"Erstkontakt vorbereiten",IF($K356="Kontaktiert",IF($L356="","Datum eintragen",IF(TODAY()&gt;=$O356,"Follow-up 3 fällig",IF(TODAY()&gt;=$N356,"Follow-up 2 fällig",IF(TODAY()&gt;=$M356,"Follow-up 1 fällig","warten")))),IF($K356="Antwort","Antworten",IF($K356="Gespräch","Nachbereiten",IF($K356="Angebot","Angebot nachfassen","")))))))</f>
        <v/>
      </c>
      <c r="Q356" s="17"/>
      <c r="R356" s="13"/>
    </row>
    <row r="357" customFormat="false" ht="15" hidden="false" customHeight="tru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3"/>
      <c r="K357" s="12"/>
      <c r="L357" s="14"/>
      <c r="M357" s="15" t="str">
        <f aca="false">IF($L357="","",$L357+Einstellungen!$B$3)</f>
        <v/>
      </c>
      <c r="N357" s="15" t="str">
        <f aca="false">IF($L357="","",$L357+Einstellungen!$B$4)</f>
        <v/>
      </c>
      <c r="O357" s="15" t="str">
        <f aca="false">IF($L357="","",$L357+Einstellungen!$B$5)</f>
        <v/>
      </c>
      <c r="P357" s="16" t="str">
        <f aca="true">IF($B357="","",IF(OR($K357="Gewonnen",$K357="Verloren",$K357="Kein Interesse"),"abgeschlossen",IF(OR($K357="Neu",$K357="Recherchiert",$K357=""),"Erstkontakt vorbereiten",IF($K357="Kontaktiert",IF($L357="","Datum eintragen",IF(TODAY()&gt;=$O357,"Follow-up 3 fällig",IF(TODAY()&gt;=$N357,"Follow-up 2 fällig",IF(TODAY()&gt;=$M357,"Follow-up 1 fällig","warten")))),IF($K357="Antwort","Antworten",IF($K357="Gespräch","Nachbereiten",IF($K357="Angebot","Angebot nachfassen","")))))))</f>
        <v/>
      </c>
      <c r="Q357" s="17"/>
      <c r="R357" s="13"/>
    </row>
    <row r="358" customFormat="false" ht="15" hidden="false" customHeight="tru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3"/>
      <c r="K358" s="12"/>
      <c r="L358" s="14"/>
      <c r="M358" s="15" t="str">
        <f aca="false">IF($L358="","",$L358+Einstellungen!$B$3)</f>
        <v/>
      </c>
      <c r="N358" s="15" t="str">
        <f aca="false">IF($L358="","",$L358+Einstellungen!$B$4)</f>
        <v/>
      </c>
      <c r="O358" s="15" t="str">
        <f aca="false">IF($L358="","",$L358+Einstellungen!$B$5)</f>
        <v/>
      </c>
      <c r="P358" s="16" t="str">
        <f aca="true">IF($B358="","",IF(OR($K358="Gewonnen",$K358="Verloren",$K358="Kein Interesse"),"abgeschlossen",IF(OR($K358="Neu",$K358="Recherchiert",$K358=""),"Erstkontakt vorbereiten",IF($K358="Kontaktiert",IF($L358="","Datum eintragen",IF(TODAY()&gt;=$O358,"Follow-up 3 fällig",IF(TODAY()&gt;=$N358,"Follow-up 2 fällig",IF(TODAY()&gt;=$M358,"Follow-up 1 fällig","warten")))),IF($K358="Antwort","Antworten",IF($K358="Gespräch","Nachbereiten",IF($K358="Angebot","Angebot nachfassen","")))))))</f>
        <v/>
      </c>
      <c r="Q358" s="17"/>
      <c r="R358" s="13"/>
    </row>
    <row r="359" customFormat="false" ht="15" hidden="false" customHeight="tru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3"/>
      <c r="K359" s="12"/>
      <c r="L359" s="14"/>
      <c r="M359" s="15" t="str">
        <f aca="false">IF($L359="","",$L359+Einstellungen!$B$3)</f>
        <v/>
      </c>
      <c r="N359" s="15" t="str">
        <f aca="false">IF($L359="","",$L359+Einstellungen!$B$4)</f>
        <v/>
      </c>
      <c r="O359" s="15" t="str">
        <f aca="false">IF($L359="","",$L359+Einstellungen!$B$5)</f>
        <v/>
      </c>
      <c r="P359" s="16" t="str">
        <f aca="true">IF($B359="","",IF(OR($K359="Gewonnen",$K359="Verloren",$K359="Kein Interesse"),"abgeschlossen",IF(OR($K359="Neu",$K359="Recherchiert",$K359=""),"Erstkontakt vorbereiten",IF($K359="Kontaktiert",IF($L359="","Datum eintragen",IF(TODAY()&gt;=$O359,"Follow-up 3 fällig",IF(TODAY()&gt;=$N359,"Follow-up 2 fällig",IF(TODAY()&gt;=$M359,"Follow-up 1 fällig","warten")))),IF($K359="Antwort","Antworten",IF($K359="Gespräch","Nachbereiten",IF($K359="Angebot","Angebot nachfassen","")))))))</f>
        <v/>
      </c>
      <c r="Q359" s="17"/>
      <c r="R359" s="13"/>
    </row>
    <row r="360" customFormat="false" ht="15" hidden="false" customHeight="tru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3"/>
      <c r="K360" s="12"/>
      <c r="L360" s="14"/>
      <c r="M360" s="15" t="str">
        <f aca="false">IF($L360="","",$L360+Einstellungen!$B$3)</f>
        <v/>
      </c>
      <c r="N360" s="15" t="str">
        <f aca="false">IF($L360="","",$L360+Einstellungen!$B$4)</f>
        <v/>
      </c>
      <c r="O360" s="15" t="str">
        <f aca="false">IF($L360="","",$L360+Einstellungen!$B$5)</f>
        <v/>
      </c>
      <c r="P360" s="16" t="str">
        <f aca="true">IF($B360="","",IF(OR($K360="Gewonnen",$K360="Verloren",$K360="Kein Interesse"),"abgeschlossen",IF(OR($K360="Neu",$K360="Recherchiert",$K360=""),"Erstkontakt vorbereiten",IF($K360="Kontaktiert",IF($L360="","Datum eintragen",IF(TODAY()&gt;=$O360,"Follow-up 3 fällig",IF(TODAY()&gt;=$N360,"Follow-up 2 fällig",IF(TODAY()&gt;=$M360,"Follow-up 1 fällig","warten")))),IF($K360="Antwort","Antworten",IF($K360="Gespräch","Nachbereiten",IF($K360="Angebot","Angebot nachfassen","")))))))</f>
        <v/>
      </c>
      <c r="Q360" s="17"/>
      <c r="R360" s="13"/>
    </row>
    <row r="361" customFormat="false" ht="15" hidden="false" customHeight="tru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3"/>
      <c r="K361" s="12"/>
      <c r="L361" s="14"/>
      <c r="M361" s="15" t="str">
        <f aca="false">IF($L361="","",$L361+Einstellungen!$B$3)</f>
        <v/>
      </c>
      <c r="N361" s="15" t="str">
        <f aca="false">IF($L361="","",$L361+Einstellungen!$B$4)</f>
        <v/>
      </c>
      <c r="O361" s="15" t="str">
        <f aca="false">IF($L361="","",$L361+Einstellungen!$B$5)</f>
        <v/>
      </c>
      <c r="P361" s="16" t="str">
        <f aca="true">IF($B361="","",IF(OR($K361="Gewonnen",$K361="Verloren",$K361="Kein Interesse"),"abgeschlossen",IF(OR($K361="Neu",$K361="Recherchiert",$K361=""),"Erstkontakt vorbereiten",IF($K361="Kontaktiert",IF($L361="","Datum eintragen",IF(TODAY()&gt;=$O361,"Follow-up 3 fällig",IF(TODAY()&gt;=$N361,"Follow-up 2 fällig",IF(TODAY()&gt;=$M361,"Follow-up 1 fällig","warten")))),IF($K361="Antwort","Antworten",IF($K361="Gespräch","Nachbereiten",IF($K361="Angebot","Angebot nachfassen","")))))))</f>
        <v/>
      </c>
      <c r="Q361" s="17"/>
      <c r="R361" s="13"/>
    </row>
    <row r="362" customFormat="false" ht="15" hidden="false" customHeight="tru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3"/>
      <c r="K362" s="12"/>
      <c r="L362" s="14"/>
      <c r="M362" s="15" t="str">
        <f aca="false">IF($L362="","",$L362+Einstellungen!$B$3)</f>
        <v/>
      </c>
      <c r="N362" s="15" t="str">
        <f aca="false">IF($L362="","",$L362+Einstellungen!$B$4)</f>
        <v/>
      </c>
      <c r="O362" s="15" t="str">
        <f aca="false">IF($L362="","",$L362+Einstellungen!$B$5)</f>
        <v/>
      </c>
      <c r="P362" s="16" t="str">
        <f aca="true">IF($B362="","",IF(OR($K362="Gewonnen",$K362="Verloren",$K362="Kein Interesse"),"abgeschlossen",IF(OR($K362="Neu",$K362="Recherchiert",$K362=""),"Erstkontakt vorbereiten",IF($K362="Kontaktiert",IF($L362="","Datum eintragen",IF(TODAY()&gt;=$O362,"Follow-up 3 fällig",IF(TODAY()&gt;=$N362,"Follow-up 2 fällig",IF(TODAY()&gt;=$M362,"Follow-up 1 fällig","warten")))),IF($K362="Antwort","Antworten",IF($K362="Gespräch","Nachbereiten",IF($K362="Angebot","Angebot nachfassen","")))))))</f>
        <v/>
      </c>
      <c r="Q362" s="17"/>
      <c r="R362" s="13"/>
    </row>
    <row r="363" customFormat="false" ht="15" hidden="false" customHeight="tru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3"/>
      <c r="K363" s="12"/>
      <c r="L363" s="14"/>
      <c r="M363" s="15" t="str">
        <f aca="false">IF($L363="","",$L363+Einstellungen!$B$3)</f>
        <v/>
      </c>
      <c r="N363" s="15" t="str">
        <f aca="false">IF($L363="","",$L363+Einstellungen!$B$4)</f>
        <v/>
      </c>
      <c r="O363" s="15" t="str">
        <f aca="false">IF($L363="","",$L363+Einstellungen!$B$5)</f>
        <v/>
      </c>
      <c r="P363" s="16" t="str">
        <f aca="true">IF($B363="","",IF(OR($K363="Gewonnen",$K363="Verloren",$K363="Kein Interesse"),"abgeschlossen",IF(OR($K363="Neu",$K363="Recherchiert",$K363=""),"Erstkontakt vorbereiten",IF($K363="Kontaktiert",IF($L363="","Datum eintragen",IF(TODAY()&gt;=$O363,"Follow-up 3 fällig",IF(TODAY()&gt;=$N363,"Follow-up 2 fällig",IF(TODAY()&gt;=$M363,"Follow-up 1 fällig","warten")))),IF($K363="Antwort","Antworten",IF($K363="Gespräch","Nachbereiten",IF($K363="Angebot","Angebot nachfassen","")))))))</f>
        <v/>
      </c>
      <c r="Q363" s="17"/>
      <c r="R363" s="13"/>
    </row>
    <row r="364" customFormat="false" ht="15" hidden="false" customHeight="tru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3"/>
      <c r="K364" s="12"/>
      <c r="L364" s="14"/>
      <c r="M364" s="15" t="str">
        <f aca="false">IF($L364="","",$L364+Einstellungen!$B$3)</f>
        <v/>
      </c>
      <c r="N364" s="15" t="str">
        <f aca="false">IF($L364="","",$L364+Einstellungen!$B$4)</f>
        <v/>
      </c>
      <c r="O364" s="15" t="str">
        <f aca="false">IF($L364="","",$L364+Einstellungen!$B$5)</f>
        <v/>
      </c>
      <c r="P364" s="16" t="str">
        <f aca="true">IF($B364="","",IF(OR($K364="Gewonnen",$K364="Verloren",$K364="Kein Interesse"),"abgeschlossen",IF(OR($K364="Neu",$K364="Recherchiert",$K364=""),"Erstkontakt vorbereiten",IF($K364="Kontaktiert",IF($L364="","Datum eintragen",IF(TODAY()&gt;=$O364,"Follow-up 3 fällig",IF(TODAY()&gt;=$N364,"Follow-up 2 fällig",IF(TODAY()&gt;=$M364,"Follow-up 1 fällig","warten")))),IF($K364="Antwort","Antworten",IF($K364="Gespräch","Nachbereiten",IF($K364="Angebot","Angebot nachfassen","")))))))</f>
        <v/>
      </c>
      <c r="Q364" s="17"/>
      <c r="R364" s="13"/>
    </row>
    <row r="365" customFormat="false" ht="15" hidden="false" customHeight="tru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3"/>
      <c r="K365" s="12"/>
      <c r="L365" s="14"/>
      <c r="M365" s="15" t="str">
        <f aca="false">IF($L365="","",$L365+Einstellungen!$B$3)</f>
        <v/>
      </c>
      <c r="N365" s="15" t="str">
        <f aca="false">IF($L365="","",$L365+Einstellungen!$B$4)</f>
        <v/>
      </c>
      <c r="O365" s="15" t="str">
        <f aca="false">IF($L365="","",$L365+Einstellungen!$B$5)</f>
        <v/>
      </c>
      <c r="P365" s="16" t="str">
        <f aca="true">IF($B365="","",IF(OR($K365="Gewonnen",$K365="Verloren",$K365="Kein Interesse"),"abgeschlossen",IF(OR($K365="Neu",$K365="Recherchiert",$K365=""),"Erstkontakt vorbereiten",IF($K365="Kontaktiert",IF($L365="","Datum eintragen",IF(TODAY()&gt;=$O365,"Follow-up 3 fällig",IF(TODAY()&gt;=$N365,"Follow-up 2 fällig",IF(TODAY()&gt;=$M365,"Follow-up 1 fällig","warten")))),IF($K365="Antwort","Antworten",IF($K365="Gespräch","Nachbereiten",IF($K365="Angebot","Angebot nachfassen","")))))))</f>
        <v/>
      </c>
      <c r="Q365" s="17"/>
      <c r="R365" s="13"/>
    </row>
    <row r="366" customFormat="false" ht="15" hidden="false" customHeight="tru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3"/>
      <c r="K366" s="12"/>
      <c r="L366" s="14"/>
      <c r="M366" s="15" t="str">
        <f aca="false">IF($L366="","",$L366+Einstellungen!$B$3)</f>
        <v/>
      </c>
      <c r="N366" s="15" t="str">
        <f aca="false">IF($L366="","",$L366+Einstellungen!$B$4)</f>
        <v/>
      </c>
      <c r="O366" s="15" t="str">
        <f aca="false">IF($L366="","",$L366+Einstellungen!$B$5)</f>
        <v/>
      </c>
      <c r="P366" s="16" t="str">
        <f aca="true">IF($B366="","",IF(OR($K366="Gewonnen",$K366="Verloren",$K366="Kein Interesse"),"abgeschlossen",IF(OR($K366="Neu",$K366="Recherchiert",$K366=""),"Erstkontakt vorbereiten",IF($K366="Kontaktiert",IF($L366="","Datum eintragen",IF(TODAY()&gt;=$O366,"Follow-up 3 fällig",IF(TODAY()&gt;=$N366,"Follow-up 2 fällig",IF(TODAY()&gt;=$M366,"Follow-up 1 fällig","warten")))),IF($K366="Antwort","Antworten",IF($K366="Gespräch","Nachbereiten",IF($K366="Angebot","Angebot nachfassen","")))))))</f>
        <v/>
      </c>
      <c r="Q366" s="17"/>
      <c r="R366" s="13"/>
    </row>
    <row r="367" customFormat="false" ht="15" hidden="false" customHeight="tru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3"/>
      <c r="K367" s="12"/>
      <c r="L367" s="14"/>
      <c r="M367" s="15" t="str">
        <f aca="false">IF($L367="","",$L367+Einstellungen!$B$3)</f>
        <v/>
      </c>
      <c r="N367" s="15" t="str">
        <f aca="false">IF($L367="","",$L367+Einstellungen!$B$4)</f>
        <v/>
      </c>
      <c r="O367" s="15" t="str">
        <f aca="false">IF($L367="","",$L367+Einstellungen!$B$5)</f>
        <v/>
      </c>
      <c r="P367" s="16" t="str">
        <f aca="true">IF($B367="","",IF(OR($K367="Gewonnen",$K367="Verloren",$K367="Kein Interesse"),"abgeschlossen",IF(OR($K367="Neu",$K367="Recherchiert",$K367=""),"Erstkontakt vorbereiten",IF($K367="Kontaktiert",IF($L367="","Datum eintragen",IF(TODAY()&gt;=$O367,"Follow-up 3 fällig",IF(TODAY()&gt;=$N367,"Follow-up 2 fällig",IF(TODAY()&gt;=$M367,"Follow-up 1 fällig","warten")))),IF($K367="Antwort","Antworten",IF($K367="Gespräch","Nachbereiten",IF($K367="Angebot","Angebot nachfassen","")))))))</f>
        <v/>
      </c>
      <c r="Q367" s="17"/>
      <c r="R367" s="13"/>
    </row>
    <row r="368" customFormat="false" ht="15" hidden="false" customHeight="tru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3"/>
      <c r="K368" s="12"/>
      <c r="L368" s="14"/>
      <c r="M368" s="15" t="str">
        <f aca="false">IF($L368="","",$L368+Einstellungen!$B$3)</f>
        <v/>
      </c>
      <c r="N368" s="15" t="str">
        <f aca="false">IF($L368="","",$L368+Einstellungen!$B$4)</f>
        <v/>
      </c>
      <c r="O368" s="15" t="str">
        <f aca="false">IF($L368="","",$L368+Einstellungen!$B$5)</f>
        <v/>
      </c>
      <c r="P368" s="16" t="str">
        <f aca="true">IF($B368="","",IF(OR($K368="Gewonnen",$K368="Verloren",$K368="Kein Interesse"),"abgeschlossen",IF(OR($K368="Neu",$K368="Recherchiert",$K368=""),"Erstkontakt vorbereiten",IF($K368="Kontaktiert",IF($L368="","Datum eintragen",IF(TODAY()&gt;=$O368,"Follow-up 3 fällig",IF(TODAY()&gt;=$N368,"Follow-up 2 fällig",IF(TODAY()&gt;=$M368,"Follow-up 1 fällig","warten")))),IF($K368="Antwort","Antworten",IF($K368="Gespräch","Nachbereiten",IF($K368="Angebot","Angebot nachfassen","")))))))</f>
        <v/>
      </c>
      <c r="Q368" s="17"/>
      <c r="R368" s="13"/>
    </row>
    <row r="369" customFormat="false" ht="15" hidden="false" customHeight="tru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3"/>
      <c r="K369" s="12"/>
      <c r="L369" s="14"/>
      <c r="M369" s="15" t="str">
        <f aca="false">IF($L369="","",$L369+Einstellungen!$B$3)</f>
        <v/>
      </c>
      <c r="N369" s="15" t="str">
        <f aca="false">IF($L369="","",$L369+Einstellungen!$B$4)</f>
        <v/>
      </c>
      <c r="O369" s="15" t="str">
        <f aca="false">IF($L369="","",$L369+Einstellungen!$B$5)</f>
        <v/>
      </c>
      <c r="P369" s="16" t="str">
        <f aca="true">IF($B369="","",IF(OR($K369="Gewonnen",$K369="Verloren",$K369="Kein Interesse"),"abgeschlossen",IF(OR($K369="Neu",$K369="Recherchiert",$K369=""),"Erstkontakt vorbereiten",IF($K369="Kontaktiert",IF($L369="","Datum eintragen",IF(TODAY()&gt;=$O369,"Follow-up 3 fällig",IF(TODAY()&gt;=$N369,"Follow-up 2 fällig",IF(TODAY()&gt;=$M369,"Follow-up 1 fällig","warten")))),IF($K369="Antwort","Antworten",IF($K369="Gespräch","Nachbereiten",IF($K369="Angebot","Angebot nachfassen","")))))))</f>
        <v/>
      </c>
      <c r="Q369" s="17"/>
      <c r="R369" s="13"/>
    </row>
    <row r="370" customFormat="false" ht="15" hidden="false" customHeight="tru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3"/>
      <c r="K370" s="12"/>
      <c r="L370" s="14"/>
      <c r="M370" s="15" t="str">
        <f aca="false">IF($L370="","",$L370+Einstellungen!$B$3)</f>
        <v/>
      </c>
      <c r="N370" s="15" t="str">
        <f aca="false">IF($L370="","",$L370+Einstellungen!$B$4)</f>
        <v/>
      </c>
      <c r="O370" s="15" t="str">
        <f aca="false">IF($L370="","",$L370+Einstellungen!$B$5)</f>
        <v/>
      </c>
      <c r="P370" s="16" t="str">
        <f aca="true">IF($B370="","",IF(OR($K370="Gewonnen",$K370="Verloren",$K370="Kein Interesse"),"abgeschlossen",IF(OR($K370="Neu",$K370="Recherchiert",$K370=""),"Erstkontakt vorbereiten",IF($K370="Kontaktiert",IF($L370="","Datum eintragen",IF(TODAY()&gt;=$O370,"Follow-up 3 fällig",IF(TODAY()&gt;=$N370,"Follow-up 2 fällig",IF(TODAY()&gt;=$M370,"Follow-up 1 fällig","warten")))),IF($K370="Antwort","Antworten",IF($K370="Gespräch","Nachbereiten",IF($K370="Angebot","Angebot nachfassen","")))))))</f>
        <v/>
      </c>
      <c r="Q370" s="17"/>
      <c r="R370" s="13"/>
    </row>
    <row r="371" customFormat="false" ht="15" hidden="false" customHeight="tru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3"/>
      <c r="K371" s="12"/>
      <c r="L371" s="14"/>
      <c r="M371" s="15" t="str">
        <f aca="false">IF($L371="","",$L371+Einstellungen!$B$3)</f>
        <v/>
      </c>
      <c r="N371" s="15" t="str">
        <f aca="false">IF($L371="","",$L371+Einstellungen!$B$4)</f>
        <v/>
      </c>
      <c r="O371" s="15" t="str">
        <f aca="false">IF($L371="","",$L371+Einstellungen!$B$5)</f>
        <v/>
      </c>
      <c r="P371" s="16" t="str">
        <f aca="true">IF($B371="","",IF(OR($K371="Gewonnen",$K371="Verloren",$K371="Kein Interesse"),"abgeschlossen",IF(OR($K371="Neu",$K371="Recherchiert",$K371=""),"Erstkontakt vorbereiten",IF($K371="Kontaktiert",IF($L371="","Datum eintragen",IF(TODAY()&gt;=$O371,"Follow-up 3 fällig",IF(TODAY()&gt;=$N371,"Follow-up 2 fällig",IF(TODAY()&gt;=$M371,"Follow-up 1 fällig","warten")))),IF($K371="Antwort","Antworten",IF($K371="Gespräch","Nachbereiten",IF($K371="Angebot","Angebot nachfassen","")))))))</f>
        <v/>
      </c>
      <c r="Q371" s="17"/>
      <c r="R371" s="13"/>
    </row>
    <row r="372" customFormat="false" ht="15" hidden="false" customHeight="tru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3"/>
      <c r="K372" s="12"/>
      <c r="L372" s="14"/>
      <c r="M372" s="15" t="str">
        <f aca="false">IF($L372="","",$L372+Einstellungen!$B$3)</f>
        <v/>
      </c>
      <c r="N372" s="15" t="str">
        <f aca="false">IF($L372="","",$L372+Einstellungen!$B$4)</f>
        <v/>
      </c>
      <c r="O372" s="15" t="str">
        <f aca="false">IF($L372="","",$L372+Einstellungen!$B$5)</f>
        <v/>
      </c>
      <c r="P372" s="16" t="str">
        <f aca="true">IF($B372="","",IF(OR($K372="Gewonnen",$K372="Verloren",$K372="Kein Interesse"),"abgeschlossen",IF(OR($K372="Neu",$K372="Recherchiert",$K372=""),"Erstkontakt vorbereiten",IF($K372="Kontaktiert",IF($L372="","Datum eintragen",IF(TODAY()&gt;=$O372,"Follow-up 3 fällig",IF(TODAY()&gt;=$N372,"Follow-up 2 fällig",IF(TODAY()&gt;=$M372,"Follow-up 1 fällig","warten")))),IF($K372="Antwort","Antworten",IF($K372="Gespräch","Nachbereiten",IF($K372="Angebot","Angebot nachfassen","")))))))</f>
        <v/>
      </c>
      <c r="Q372" s="17"/>
      <c r="R372" s="13"/>
    </row>
    <row r="373" customFormat="false" ht="15" hidden="false" customHeight="tru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3"/>
      <c r="K373" s="12"/>
      <c r="L373" s="14"/>
      <c r="M373" s="15" t="str">
        <f aca="false">IF($L373="","",$L373+Einstellungen!$B$3)</f>
        <v/>
      </c>
      <c r="N373" s="15" t="str">
        <f aca="false">IF($L373="","",$L373+Einstellungen!$B$4)</f>
        <v/>
      </c>
      <c r="O373" s="15" t="str">
        <f aca="false">IF($L373="","",$L373+Einstellungen!$B$5)</f>
        <v/>
      </c>
      <c r="P373" s="16" t="str">
        <f aca="true">IF($B373="","",IF(OR($K373="Gewonnen",$K373="Verloren",$K373="Kein Interesse"),"abgeschlossen",IF(OR($K373="Neu",$K373="Recherchiert",$K373=""),"Erstkontakt vorbereiten",IF($K373="Kontaktiert",IF($L373="","Datum eintragen",IF(TODAY()&gt;=$O373,"Follow-up 3 fällig",IF(TODAY()&gt;=$N373,"Follow-up 2 fällig",IF(TODAY()&gt;=$M373,"Follow-up 1 fällig","warten")))),IF($K373="Antwort","Antworten",IF($K373="Gespräch","Nachbereiten",IF($K373="Angebot","Angebot nachfassen","")))))))</f>
        <v/>
      </c>
      <c r="Q373" s="17"/>
      <c r="R373" s="13"/>
    </row>
    <row r="374" customFormat="false" ht="15" hidden="false" customHeight="tru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3"/>
      <c r="K374" s="12"/>
      <c r="L374" s="14"/>
      <c r="M374" s="15" t="str">
        <f aca="false">IF($L374="","",$L374+Einstellungen!$B$3)</f>
        <v/>
      </c>
      <c r="N374" s="15" t="str">
        <f aca="false">IF($L374="","",$L374+Einstellungen!$B$4)</f>
        <v/>
      </c>
      <c r="O374" s="15" t="str">
        <f aca="false">IF($L374="","",$L374+Einstellungen!$B$5)</f>
        <v/>
      </c>
      <c r="P374" s="16" t="str">
        <f aca="true">IF($B374="","",IF(OR($K374="Gewonnen",$K374="Verloren",$K374="Kein Interesse"),"abgeschlossen",IF(OR($K374="Neu",$K374="Recherchiert",$K374=""),"Erstkontakt vorbereiten",IF($K374="Kontaktiert",IF($L374="","Datum eintragen",IF(TODAY()&gt;=$O374,"Follow-up 3 fällig",IF(TODAY()&gt;=$N374,"Follow-up 2 fällig",IF(TODAY()&gt;=$M374,"Follow-up 1 fällig","warten")))),IF($K374="Antwort","Antworten",IF($K374="Gespräch","Nachbereiten",IF($K374="Angebot","Angebot nachfassen","")))))))</f>
        <v/>
      </c>
      <c r="Q374" s="17"/>
      <c r="R374" s="13"/>
    </row>
    <row r="375" customFormat="false" ht="15" hidden="false" customHeight="tru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3"/>
      <c r="K375" s="12"/>
      <c r="L375" s="14"/>
      <c r="M375" s="15" t="str">
        <f aca="false">IF($L375="","",$L375+Einstellungen!$B$3)</f>
        <v/>
      </c>
      <c r="N375" s="15" t="str">
        <f aca="false">IF($L375="","",$L375+Einstellungen!$B$4)</f>
        <v/>
      </c>
      <c r="O375" s="15" t="str">
        <f aca="false">IF($L375="","",$L375+Einstellungen!$B$5)</f>
        <v/>
      </c>
      <c r="P375" s="16" t="str">
        <f aca="true">IF($B375="","",IF(OR($K375="Gewonnen",$K375="Verloren",$K375="Kein Interesse"),"abgeschlossen",IF(OR($K375="Neu",$K375="Recherchiert",$K375=""),"Erstkontakt vorbereiten",IF($K375="Kontaktiert",IF($L375="","Datum eintragen",IF(TODAY()&gt;=$O375,"Follow-up 3 fällig",IF(TODAY()&gt;=$N375,"Follow-up 2 fällig",IF(TODAY()&gt;=$M375,"Follow-up 1 fällig","warten")))),IF($K375="Antwort","Antworten",IF($K375="Gespräch","Nachbereiten",IF($K375="Angebot","Angebot nachfassen","")))))))</f>
        <v/>
      </c>
      <c r="Q375" s="17"/>
      <c r="R375" s="13"/>
    </row>
    <row r="376" customFormat="false" ht="15" hidden="false" customHeight="tru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3"/>
      <c r="K376" s="12"/>
      <c r="L376" s="14"/>
      <c r="M376" s="15" t="str">
        <f aca="false">IF($L376="","",$L376+Einstellungen!$B$3)</f>
        <v/>
      </c>
      <c r="N376" s="15" t="str">
        <f aca="false">IF($L376="","",$L376+Einstellungen!$B$4)</f>
        <v/>
      </c>
      <c r="O376" s="15" t="str">
        <f aca="false">IF($L376="","",$L376+Einstellungen!$B$5)</f>
        <v/>
      </c>
      <c r="P376" s="16" t="str">
        <f aca="true">IF($B376="","",IF(OR($K376="Gewonnen",$K376="Verloren",$K376="Kein Interesse"),"abgeschlossen",IF(OR($K376="Neu",$K376="Recherchiert",$K376=""),"Erstkontakt vorbereiten",IF($K376="Kontaktiert",IF($L376="","Datum eintragen",IF(TODAY()&gt;=$O376,"Follow-up 3 fällig",IF(TODAY()&gt;=$N376,"Follow-up 2 fällig",IF(TODAY()&gt;=$M376,"Follow-up 1 fällig","warten")))),IF($K376="Antwort","Antworten",IF($K376="Gespräch","Nachbereiten",IF($K376="Angebot","Angebot nachfassen","")))))))</f>
        <v/>
      </c>
      <c r="Q376" s="17"/>
      <c r="R376" s="13"/>
    </row>
    <row r="377" customFormat="false" ht="15" hidden="false" customHeight="tru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3"/>
      <c r="K377" s="12"/>
      <c r="L377" s="14"/>
      <c r="M377" s="15" t="str">
        <f aca="false">IF($L377="","",$L377+Einstellungen!$B$3)</f>
        <v/>
      </c>
      <c r="N377" s="15" t="str">
        <f aca="false">IF($L377="","",$L377+Einstellungen!$B$4)</f>
        <v/>
      </c>
      <c r="O377" s="15" t="str">
        <f aca="false">IF($L377="","",$L377+Einstellungen!$B$5)</f>
        <v/>
      </c>
      <c r="P377" s="16" t="str">
        <f aca="true">IF($B377="","",IF(OR($K377="Gewonnen",$K377="Verloren",$K377="Kein Interesse"),"abgeschlossen",IF(OR($K377="Neu",$K377="Recherchiert",$K377=""),"Erstkontakt vorbereiten",IF($K377="Kontaktiert",IF($L377="","Datum eintragen",IF(TODAY()&gt;=$O377,"Follow-up 3 fällig",IF(TODAY()&gt;=$N377,"Follow-up 2 fällig",IF(TODAY()&gt;=$M377,"Follow-up 1 fällig","warten")))),IF($K377="Antwort","Antworten",IF($K377="Gespräch","Nachbereiten",IF($K377="Angebot","Angebot nachfassen","")))))))</f>
        <v/>
      </c>
      <c r="Q377" s="17"/>
      <c r="R377" s="13"/>
    </row>
    <row r="378" customFormat="false" ht="15" hidden="false" customHeight="tru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3"/>
      <c r="K378" s="12"/>
      <c r="L378" s="14"/>
      <c r="M378" s="15" t="str">
        <f aca="false">IF($L378="","",$L378+Einstellungen!$B$3)</f>
        <v/>
      </c>
      <c r="N378" s="15" t="str">
        <f aca="false">IF($L378="","",$L378+Einstellungen!$B$4)</f>
        <v/>
      </c>
      <c r="O378" s="15" t="str">
        <f aca="false">IF($L378="","",$L378+Einstellungen!$B$5)</f>
        <v/>
      </c>
      <c r="P378" s="16" t="str">
        <f aca="true">IF($B378="","",IF(OR($K378="Gewonnen",$K378="Verloren",$K378="Kein Interesse"),"abgeschlossen",IF(OR($K378="Neu",$K378="Recherchiert",$K378=""),"Erstkontakt vorbereiten",IF($K378="Kontaktiert",IF($L378="","Datum eintragen",IF(TODAY()&gt;=$O378,"Follow-up 3 fällig",IF(TODAY()&gt;=$N378,"Follow-up 2 fällig",IF(TODAY()&gt;=$M378,"Follow-up 1 fällig","warten")))),IF($K378="Antwort","Antworten",IF($K378="Gespräch","Nachbereiten",IF($K378="Angebot","Angebot nachfassen","")))))))</f>
        <v/>
      </c>
      <c r="Q378" s="17"/>
      <c r="R378" s="13"/>
    </row>
    <row r="379" customFormat="false" ht="15" hidden="false" customHeight="tru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3"/>
      <c r="K379" s="12"/>
      <c r="L379" s="14"/>
      <c r="M379" s="15" t="str">
        <f aca="false">IF($L379="","",$L379+Einstellungen!$B$3)</f>
        <v/>
      </c>
      <c r="N379" s="15" t="str">
        <f aca="false">IF($L379="","",$L379+Einstellungen!$B$4)</f>
        <v/>
      </c>
      <c r="O379" s="15" t="str">
        <f aca="false">IF($L379="","",$L379+Einstellungen!$B$5)</f>
        <v/>
      </c>
      <c r="P379" s="16" t="str">
        <f aca="true">IF($B379="","",IF(OR($K379="Gewonnen",$K379="Verloren",$K379="Kein Interesse"),"abgeschlossen",IF(OR($K379="Neu",$K379="Recherchiert",$K379=""),"Erstkontakt vorbereiten",IF($K379="Kontaktiert",IF($L379="","Datum eintragen",IF(TODAY()&gt;=$O379,"Follow-up 3 fällig",IF(TODAY()&gt;=$N379,"Follow-up 2 fällig",IF(TODAY()&gt;=$M379,"Follow-up 1 fällig","warten")))),IF($K379="Antwort","Antworten",IF($K379="Gespräch","Nachbereiten",IF($K379="Angebot","Angebot nachfassen","")))))))</f>
        <v/>
      </c>
      <c r="Q379" s="17"/>
      <c r="R379" s="13"/>
    </row>
    <row r="380" customFormat="false" ht="15" hidden="false" customHeight="tru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3"/>
      <c r="K380" s="12"/>
      <c r="L380" s="14"/>
      <c r="M380" s="15" t="str">
        <f aca="false">IF($L380="","",$L380+Einstellungen!$B$3)</f>
        <v/>
      </c>
      <c r="N380" s="15" t="str">
        <f aca="false">IF($L380="","",$L380+Einstellungen!$B$4)</f>
        <v/>
      </c>
      <c r="O380" s="15" t="str">
        <f aca="false">IF($L380="","",$L380+Einstellungen!$B$5)</f>
        <v/>
      </c>
      <c r="P380" s="16" t="str">
        <f aca="true">IF($B380="","",IF(OR($K380="Gewonnen",$K380="Verloren",$K380="Kein Interesse"),"abgeschlossen",IF(OR($K380="Neu",$K380="Recherchiert",$K380=""),"Erstkontakt vorbereiten",IF($K380="Kontaktiert",IF($L380="","Datum eintragen",IF(TODAY()&gt;=$O380,"Follow-up 3 fällig",IF(TODAY()&gt;=$N380,"Follow-up 2 fällig",IF(TODAY()&gt;=$M380,"Follow-up 1 fällig","warten")))),IF($K380="Antwort","Antworten",IF($K380="Gespräch","Nachbereiten",IF($K380="Angebot","Angebot nachfassen","")))))))</f>
        <v/>
      </c>
      <c r="Q380" s="17"/>
      <c r="R380" s="13"/>
    </row>
    <row r="381" customFormat="false" ht="15" hidden="false" customHeight="tru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3"/>
      <c r="K381" s="12"/>
      <c r="L381" s="14"/>
      <c r="M381" s="15" t="str">
        <f aca="false">IF($L381="","",$L381+Einstellungen!$B$3)</f>
        <v/>
      </c>
      <c r="N381" s="15" t="str">
        <f aca="false">IF($L381="","",$L381+Einstellungen!$B$4)</f>
        <v/>
      </c>
      <c r="O381" s="15" t="str">
        <f aca="false">IF($L381="","",$L381+Einstellungen!$B$5)</f>
        <v/>
      </c>
      <c r="P381" s="16" t="str">
        <f aca="true">IF($B381="","",IF(OR($K381="Gewonnen",$K381="Verloren",$K381="Kein Interesse"),"abgeschlossen",IF(OR($K381="Neu",$K381="Recherchiert",$K381=""),"Erstkontakt vorbereiten",IF($K381="Kontaktiert",IF($L381="","Datum eintragen",IF(TODAY()&gt;=$O381,"Follow-up 3 fällig",IF(TODAY()&gt;=$N381,"Follow-up 2 fällig",IF(TODAY()&gt;=$M381,"Follow-up 1 fällig","warten")))),IF($K381="Antwort","Antworten",IF($K381="Gespräch","Nachbereiten",IF($K381="Angebot","Angebot nachfassen","")))))))</f>
        <v/>
      </c>
      <c r="Q381" s="17"/>
      <c r="R381" s="13"/>
    </row>
    <row r="382" customFormat="false" ht="15" hidden="false" customHeight="tru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3"/>
      <c r="K382" s="12"/>
      <c r="L382" s="14"/>
      <c r="M382" s="15" t="str">
        <f aca="false">IF($L382="","",$L382+Einstellungen!$B$3)</f>
        <v/>
      </c>
      <c r="N382" s="15" t="str">
        <f aca="false">IF($L382="","",$L382+Einstellungen!$B$4)</f>
        <v/>
      </c>
      <c r="O382" s="15" t="str">
        <f aca="false">IF($L382="","",$L382+Einstellungen!$B$5)</f>
        <v/>
      </c>
      <c r="P382" s="16" t="str">
        <f aca="true">IF($B382="","",IF(OR($K382="Gewonnen",$K382="Verloren",$K382="Kein Interesse"),"abgeschlossen",IF(OR($K382="Neu",$K382="Recherchiert",$K382=""),"Erstkontakt vorbereiten",IF($K382="Kontaktiert",IF($L382="","Datum eintragen",IF(TODAY()&gt;=$O382,"Follow-up 3 fällig",IF(TODAY()&gt;=$N382,"Follow-up 2 fällig",IF(TODAY()&gt;=$M382,"Follow-up 1 fällig","warten")))),IF($K382="Antwort","Antworten",IF($K382="Gespräch","Nachbereiten",IF($K382="Angebot","Angebot nachfassen","")))))))</f>
        <v/>
      </c>
      <c r="Q382" s="17"/>
      <c r="R382" s="13"/>
    </row>
    <row r="383" customFormat="false" ht="15" hidden="false" customHeight="tru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3"/>
      <c r="K383" s="12"/>
      <c r="L383" s="14"/>
      <c r="M383" s="15" t="str">
        <f aca="false">IF($L383="","",$L383+Einstellungen!$B$3)</f>
        <v/>
      </c>
      <c r="N383" s="15" t="str">
        <f aca="false">IF($L383="","",$L383+Einstellungen!$B$4)</f>
        <v/>
      </c>
      <c r="O383" s="15" t="str">
        <f aca="false">IF($L383="","",$L383+Einstellungen!$B$5)</f>
        <v/>
      </c>
      <c r="P383" s="16" t="str">
        <f aca="true">IF($B383="","",IF(OR($K383="Gewonnen",$K383="Verloren",$K383="Kein Interesse"),"abgeschlossen",IF(OR($K383="Neu",$K383="Recherchiert",$K383=""),"Erstkontakt vorbereiten",IF($K383="Kontaktiert",IF($L383="","Datum eintragen",IF(TODAY()&gt;=$O383,"Follow-up 3 fällig",IF(TODAY()&gt;=$N383,"Follow-up 2 fällig",IF(TODAY()&gt;=$M383,"Follow-up 1 fällig","warten")))),IF($K383="Antwort","Antworten",IF($K383="Gespräch","Nachbereiten",IF($K383="Angebot","Angebot nachfassen","")))))))</f>
        <v/>
      </c>
      <c r="Q383" s="17"/>
      <c r="R383" s="13"/>
    </row>
    <row r="384" customFormat="false" ht="15" hidden="false" customHeight="tru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3"/>
      <c r="K384" s="12"/>
      <c r="L384" s="14"/>
      <c r="M384" s="15" t="str">
        <f aca="false">IF($L384="","",$L384+Einstellungen!$B$3)</f>
        <v/>
      </c>
      <c r="N384" s="15" t="str">
        <f aca="false">IF($L384="","",$L384+Einstellungen!$B$4)</f>
        <v/>
      </c>
      <c r="O384" s="15" t="str">
        <f aca="false">IF($L384="","",$L384+Einstellungen!$B$5)</f>
        <v/>
      </c>
      <c r="P384" s="16" t="str">
        <f aca="true">IF($B384="","",IF(OR($K384="Gewonnen",$K384="Verloren",$K384="Kein Interesse"),"abgeschlossen",IF(OR($K384="Neu",$K384="Recherchiert",$K384=""),"Erstkontakt vorbereiten",IF($K384="Kontaktiert",IF($L384="","Datum eintragen",IF(TODAY()&gt;=$O384,"Follow-up 3 fällig",IF(TODAY()&gt;=$N384,"Follow-up 2 fällig",IF(TODAY()&gt;=$M384,"Follow-up 1 fällig","warten")))),IF($K384="Antwort","Antworten",IF($K384="Gespräch","Nachbereiten",IF($K384="Angebot","Angebot nachfassen","")))))))</f>
        <v/>
      </c>
      <c r="Q384" s="17"/>
      <c r="R384" s="13"/>
    </row>
    <row r="385" customFormat="false" ht="15" hidden="false" customHeight="tru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3"/>
      <c r="K385" s="12"/>
      <c r="L385" s="14"/>
      <c r="M385" s="15" t="str">
        <f aca="false">IF($L385="","",$L385+Einstellungen!$B$3)</f>
        <v/>
      </c>
      <c r="N385" s="15" t="str">
        <f aca="false">IF($L385="","",$L385+Einstellungen!$B$4)</f>
        <v/>
      </c>
      <c r="O385" s="15" t="str">
        <f aca="false">IF($L385="","",$L385+Einstellungen!$B$5)</f>
        <v/>
      </c>
      <c r="P385" s="16" t="str">
        <f aca="true">IF($B385="","",IF(OR($K385="Gewonnen",$K385="Verloren",$K385="Kein Interesse"),"abgeschlossen",IF(OR($K385="Neu",$K385="Recherchiert",$K385=""),"Erstkontakt vorbereiten",IF($K385="Kontaktiert",IF($L385="","Datum eintragen",IF(TODAY()&gt;=$O385,"Follow-up 3 fällig",IF(TODAY()&gt;=$N385,"Follow-up 2 fällig",IF(TODAY()&gt;=$M385,"Follow-up 1 fällig","warten")))),IF($K385="Antwort","Antworten",IF($K385="Gespräch","Nachbereiten",IF($K385="Angebot","Angebot nachfassen","")))))))</f>
        <v/>
      </c>
      <c r="Q385" s="17"/>
      <c r="R385" s="13"/>
    </row>
    <row r="386" customFormat="false" ht="15" hidden="false" customHeight="tru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3"/>
      <c r="K386" s="12"/>
      <c r="L386" s="14"/>
      <c r="M386" s="15" t="str">
        <f aca="false">IF($L386="","",$L386+Einstellungen!$B$3)</f>
        <v/>
      </c>
      <c r="N386" s="15" t="str">
        <f aca="false">IF($L386="","",$L386+Einstellungen!$B$4)</f>
        <v/>
      </c>
      <c r="O386" s="15" t="str">
        <f aca="false">IF($L386="","",$L386+Einstellungen!$B$5)</f>
        <v/>
      </c>
      <c r="P386" s="16" t="str">
        <f aca="true">IF($B386="","",IF(OR($K386="Gewonnen",$K386="Verloren",$K386="Kein Interesse"),"abgeschlossen",IF(OR($K386="Neu",$K386="Recherchiert",$K386=""),"Erstkontakt vorbereiten",IF($K386="Kontaktiert",IF($L386="","Datum eintragen",IF(TODAY()&gt;=$O386,"Follow-up 3 fällig",IF(TODAY()&gt;=$N386,"Follow-up 2 fällig",IF(TODAY()&gt;=$M386,"Follow-up 1 fällig","warten")))),IF($K386="Antwort","Antworten",IF($K386="Gespräch","Nachbereiten",IF($K386="Angebot","Angebot nachfassen","")))))))</f>
        <v/>
      </c>
      <c r="Q386" s="17"/>
      <c r="R386" s="13"/>
    </row>
    <row r="387" customFormat="false" ht="15" hidden="false" customHeight="tru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3"/>
      <c r="K387" s="12"/>
      <c r="L387" s="14"/>
      <c r="M387" s="15" t="str">
        <f aca="false">IF($L387="","",$L387+Einstellungen!$B$3)</f>
        <v/>
      </c>
      <c r="N387" s="15" t="str">
        <f aca="false">IF($L387="","",$L387+Einstellungen!$B$4)</f>
        <v/>
      </c>
      <c r="O387" s="15" t="str">
        <f aca="false">IF($L387="","",$L387+Einstellungen!$B$5)</f>
        <v/>
      </c>
      <c r="P387" s="16" t="str">
        <f aca="true">IF($B387="","",IF(OR($K387="Gewonnen",$K387="Verloren",$K387="Kein Interesse"),"abgeschlossen",IF(OR($K387="Neu",$K387="Recherchiert",$K387=""),"Erstkontakt vorbereiten",IF($K387="Kontaktiert",IF($L387="","Datum eintragen",IF(TODAY()&gt;=$O387,"Follow-up 3 fällig",IF(TODAY()&gt;=$N387,"Follow-up 2 fällig",IF(TODAY()&gt;=$M387,"Follow-up 1 fällig","warten")))),IF($K387="Antwort","Antworten",IF($K387="Gespräch","Nachbereiten",IF($K387="Angebot","Angebot nachfassen","")))))))</f>
        <v/>
      </c>
      <c r="Q387" s="17"/>
      <c r="R387" s="13"/>
    </row>
    <row r="388" customFormat="false" ht="15" hidden="false" customHeight="tru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3"/>
      <c r="K388" s="12"/>
      <c r="L388" s="14"/>
      <c r="M388" s="15" t="str">
        <f aca="false">IF($L388="","",$L388+Einstellungen!$B$3)</f>
        <v/>
      </c>
      <c r="N388" s="15" t="str">
        <f aca="false">IF($L388="","",$L388+Einstellungen!$B$4)</f>
        <v/>
      </c>
      <c r="O388" s="15" t="str">
        <f aca="false">IF($L388="","",$L388+Einstellungen!$B$5)</f>
        <v/>
      </c>
      <c r="P388" s="16" t="str">
        <f aca="true">IF($B388="","",IF(OR($K388="Gewonnen",$K388="Verloren",$K388="Kein Interesse"),"abgeschlossen",IF(OR($K388="Neu",$K388="Recherchiert",$K388=""),"Erstkontakt vorbereiten",IF($K388="Kontaktiert",IF($L388="","Datum eintragen",IF(TODAY()&gt;=$O388,"Follow-up 3 fällig",IF(TODAY()&gt;=$N388,"Follow-up 2 fällig",IF(TODAY()&gt;=$M388,"Follow-up 1 fällig","warten")))),IF($K388="Antwort","Antworten",IF($K388="Gespräch","Nachbereiten",IF($K388="Angebot","Angebot nachfassen","")))))))</f>
        <v/>
      </c>
      <c r="Q388" s="17"/>
      <c r="R388" s="13"/>
    </row>
    <row r="389" customFormat="false" ht="15" hidden="false" customHeight="tru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3"/>
      <c r="K389" s="12"/>
      <c r="L389" s="14"/>
      <c r="M389" s="15" t="str">
        <f aca="false">IF($L389="","",$L389+Einstellungen!$B$3)</f>
        <v/>
      </c>
      <c r="N389" s="15" t="str">
        <f aca="false">IF($L389="","",$L389+Einstellungen!$B$4)</f>
        <v/>
      </c>
      <c r="O389" s="15" t="str">
        <f aca="false">IF($L389="","",$L389+Einstellungen!$B$5)</f>
        <v/>
      </c>
      <c r="P389" s="16" t="str">
        <f aca="true">IF($B389="","",IF(OR($K389="Gewonnen",$K389="Verloren",$K389="Kein Interesse"),"abgeschlossen",IF(OR($K389="Neu",$K389="Recherchiert",$K389=""),"Erstkontakt vorbereiten",IF($K389="Kontaktiert",IF($L389="","Datum eintragen",IF(TODAY()&gt;=$O389,"Follow-up 3 fällig",IF(TODAY()&gt;=$N389,"Follow-up 2 fällig",IF(TODAY()&gt;=$M389,"Follow-up 1 fällig","warten")))),IF($K389="Antwort","Antworten",IF($K389="Gespräch","Nachbereiten",IF($K389="Angebot","Angebot nachfassen","")))))))</f>
        <v/>
      </c>
      <c r="Q389" s="17"/>
      <c r="R389" s="13"/>
    </row>
    <row r="390" customFormat="false" ht="15" hidden="false" customHeight="tru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3"/>
      <c r="K390" s="12"/>
      <c r="L390" s="14"/>
      <c r="M390" s="15" t="str">
        <f aca="false">IF($L390="","",$L390+Einstellungen!$B$3)</f>
        <v/>
      </c>
      <c r="N390" s="15" t="str">
        <f aca="false">IF($L390="","",$L390+Einstellungen!$B$4)</f>
        <v/>
      </c>
      <c r="O390" s="15" t="str">
        <f aca="false">IF($L390="","",$L390+Einstellungen!$B$5)</f>
        <v/>
      </c>
      <c r="P390" s="16" t="str">
        <f aca="true">IF($B390="","",IF(OR($K390="Gewonnen",$K390="Verloren",$K390="Kein Interesse"),"abgeschlossen",IF(OR($K390="Neu",$K390="Recherchiert",$K390=""),"Erstkontakt vorbereiten",IF($K390="Kontaktiert",IF($L390="","Datum eintragen",IF(TODAY()&gt;=$O390,"Follow-up 3 fällig",IF(TODAY()&gt;=$N390,"Follow-up 2 fällig",IF(TODAY()&gt;=$M390,"Follow-up 1 fällig","warten")))),IF($K390="Antwort","Antworten",IF($K390="Gespräch","Nachbereiten",IF($K390="Angebot","Angebot nachfassen","")))))))</f>
        <v/>
      </c>
      <c r="Q390" s="17"/>
      <c r="R390" s="13"/>
    </row>
    <row r="391" customFormat="false" ht="15" hidden="false" customHeight="tru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3"/>
      <c r="K391" s="12"/>
      <c r="L391" s="14"/>
      <c r="M391" s="15" t="str">
        <f aca="false">IF($L391="","",$L391+Einstellungen!$B$3)</f>
        <v/>
      </c>
      <c r="N391" s="15" t="str">
        <f aca="false">IF($L391="","",$L391+Einstellungen!$B$4)</f>
        <v/>
      </c>
      <c r="O391" s="15" t="str">
        <f aca="false">IF($L391="","",$L391+Einstellungen!$B$5)</f>
        <v/>
      </c>
      <c r="P391" s="16" t="str">
        <f aca="true">IF($B391="","",IF(OR($K391="Gewonnen",$K391="Verloren",$K391="Kein Interesse"),"abgeschlossen",IF(OR($K391="Neu",$K391="Recherchiert",$K391=""),"Erstkontakt vorbereiten",IF($K391="Kontaktiert",IF($L391="","Datum eintragen",IF(TODAY()&gt;=$O391,"Follow-up 3 fällig",IF(TODAY()&gt;=$N391,"Follow-up 2 fällig",IF(TODAY()&gt;=$M391,"Follow-up 1 fällig","warten")))),IF($K391="Antwort","Antworten",IF($K391="Gespräch","Nachbereiten",IF($K391="Angebot","Angebot nachfassen","")))))))</f>
        <v/>
      </c>
      <c r="Q391" s="17"/>
      <c r="R391" s="13"/>
    </row>
    <row r="392" customFormat="false" ht="15" hidden="false" customHeight="tru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3"/>
      <c r="K392" s="12"/>
      <c r="L392" s="14"/>
      <c r="M392" s="15" t="str">
        <f aca="false">IF($L392="","",$L392+Einstellungen!$B$3)</f>
        <v/>
      </c>
      <c r="N392" s="15" t="str">
        <f aca="false">IF($L392="","",$L392+Einstellungen!$B$4)</f>
        <v/>
      </c>
      <c r="O392" s="15" t="str">
        <f aca="false">IF($L392="","",$L392+Einstellungen!$B$5)</f>
        <v/>
      </c>
      <c r="P392" s="16" t="str">
        <f aca="true">IF($B392="","",IF(OR($K392="Gewonnen",$K392="Verloren",$K392="Kein Interesse"),"abgeschlossen",IF(OR($K392="Neu",$K392="Recherchiert",$K392=""),"Erstkontakt vorbereiten",IF($K392="Kontaktiert",IF($L392="","Datum eintragen",IF(TODAY()&gt;=$O392,"Follow-up 3 fällig",IF(TODAY()&gt;=$N392,"Follow-up 2 fällig",IF(TODAY()&gt;=$M392,"Follow-up 1 fällig","warten")))),IF($K392="Antwort","Antworten",IF($K392="Gespräch","Nachbereiten",IF($K392="Angebot","Angebot nachfassen","")))))))</f>
        <v/>
      </c>
      <c r="Q392" s="17"/>
      <c r="R392" s="13"/>
    </row>
    <row r="393" customFormat="false" ht="15" hidden="false" customHeight="tru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3"/>
      <c r="K393" s="12"/>
      <c r="L393" s="14"/>
      <c r="M393" s="15" t="str">
        <f aca="false">IF($L393="","",$L393+Einstellungen!$B$3)</f>
        <v/>
      </c>
      <c r="N393" s="15" t="str">
        <f aca="false">IF($L393="","",$L393+Einstellungen!$B$4)</f>
        <v/>
      </c>
      <c r="O393" s="15" t="str">
        <f aca="false">IF($L393="","",$L393+Einstellungen!$B$5)</f>
        <v/>
      </c>
      <c r="P393" s="16" t="str">
        <f aca="true">IF($B393="","",IF(OR($K393="Gewonnen",$K393="Verloren",$K393="Kein Interesse"),"abgeschlossen",IF(OR($K393="Neu",$K393="Recherchiert",$K393=""),"Erstkontakt vorbereiten",IF($K393="Kontaktiert",IF($L393="","Datum eintragen",IF(TODAY()&gt;=$O393,"Follow-up 3 fällig",IF(TODAY()&gt;=$N393,"Follow-up 2 fällig",IF(TODAY()&gt;=$M393,"Follow-up 1 fällig","warten")))),IF($K393="Antwort","Antworten",IF($K393="Gespräch","Nachbereiten",IF($K393="Angebot","Angebot nachfassen","")))))))</f>
        <v/>
      </c>
      <c r="Q393" s="17"/>
      <c r="R393" s="13"/>
    </row>
    <row r="394" customFormat="false" ht="15" hidden="false" customHeight="tru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3"/>
      <c r="K394" s="12"/>
      <c r="L394" s="14"/>
      <c r="M394" s="15" t="str">
        <f aca="false">IF($L394="","",$L394+Einstellungen!$B$3)</f>
        <v/>
      </c>
      <c r="N394" s="15" t="str">
        <f aca="false">IF($L394="","",$L394+Einstellungen!$B$4)</f>
        <v/>
      </c>
      <c r="O394" s="15" t="str">
        <f aca="false">IF($L394="","",$L394+Einstellungen!$B$5)</f>
        <v/>
      </c>
      <c r="P394" s="16" t="str">
        <f aca="true">IF($B394="","",IF(OR($K394="Gewonnen",$K394="Verloren",$K394="Kein Interesse"),"abgeschlossen",IF(OR($K394="Neu",$K394="Recherchiert",$K394=""),"Erstkontakt vorbereiten",IF($K394="Kontaktiert",IF($L394="","Datum eintragen",IF(TODAY()&gt;=$O394,"Follow-up 3 fällig",IF(TODAY()&gt;=$N394,"Follow-up 2 fällig",IF(TODAY()&gt;=$M394,"Follow-up 1 fällig","warten")))),IF($K394="Antwort","Antworten",IF($K394="Gespräch","Nachbereiten",IF($K394="Angebot","Angebot nachfassen","")))))))</f>
        <v/>
      </c>
      <c r="Q394" s="17"/>
      <c r="R394" s="13"/>
    </row>
    <row r="395" customFormat="false" ht="15" hidden="false" customHeight="tru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3"/>
      <c r="K395" s="12"/>
      <c r="L395" s="14"/>
      <c r="M395" s="15" t="str">
        <f aca="false">IF($L395="","",$L395+Einstellungen!$B$3)</f>
        <v/>
      </c>
      <c r="N395" s="15" t="str">
        <f aca="false">IF($L395="","",$L395+Einstellungen!$B$4)</f>
        <v/>
      </c>
      <c r="O395" s="15" t="str">
        <f aca="false">IF($L395="","",$L395+Einstellungen!$B$5)</f>
        <v/>
      </c>
      <c r="P395" s="16" t="str">
        <f aca="true">IF($B395="","",IF(OR($K395="Gewonnen",$K395="Verloren",$K395="Kein Interesse"),"abgeschlossen",IF(OR($K395="Neu",$K395="Recherchiert",$K395=""),"Erstkontakt vorbereiten",IF($K395="Kontaktiert",IF($L395="","Datum eintragen",IF(TODAY()&gt;=$O395,"Follow-up 3 fällig",IF(TODAY()&gt;=$N395,"Follow-up 2 fällig",IF(TODAY()&gt;=$M395,"Follow-up 1 fällig","warten")))),IF($K395="Antwort","Antworten",IF($K395="Gespräch","Nachbereiten",IF($K395="Angebot","Angebot nachfassen","")))))))</f>
        <v/>
      </c>
      <c r="Q395" s="17"/>
      <c r="R395" s="13"/>
    </row>
    <row r="396" customFormat="false" ht="15" hidden="false" customHeight="tru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3"/>
      <c r="K396" s="12"/>
      <c r="L396" s="14"/>
      <c r="M396" s="15" t="str">
        <f aca="false">IF($L396="","",$L396+Einstellungen!$B$3)</f>
        <v/>
      </c>
      <c r="N396" s="15" t="str">
        <f aca="false">IF($L396="","",$L396+Einstellungen!$B$4)</f>
        <v/>
      </c>
      <c r="O396" s="15" t="str">
        <f aca="false">IF($L396="","",$L396+Einstellungen!$B$5)</f>
        <v/>
      </c>
      <c r="P396" s="16" t="str">
        <f aca="true">IF($B396="","",IF(OR($K396="Gewonnen",$K396="Verloren",$K396="Kein Interesse"),"abgeschlossen",IF(OR($K396="Neu",$K396="Recherchiert",$K396=""),"Erstkontakt vorbereiten",IF($K396="Kontaktiert",IF($L396="","Datum eintragen",IF(TODAY()&gt;=$O396,"Follow-up 3 fällig",IF(TODAY()&gt;=$N396,"Follow-up 2 fällig",IF(TODAY()&gt;=$M396,"Follow-up 1 fällig","warten")))),IF($K396="Antwort","Antworten",IF($K396="Gespräch","Nachbereiten",IF($K396="Angebot","Angebot nachfassen","")))))))</f>
        <v/>
      </c>
      <c r="Q396" s="17"/>
      <c r="R396" s="13"/>
    </row>
    <row r="397" customFormat="false" ht="15" hidden="false" customHeight="tru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3"/>
      <c r="K397" s="12"/>
      <c r="L397" s="14"/>
      <c r="M397" s="15" t="str">
        <f aca="false">IF($L397="","",$L397+Einstellungen!$B$3)</f>
        <v/>
      </c>
      <c r="N397" s="15" t="str">
        <f aca="false">IF($L397="","",$L397+Einstellungen!$B$4)</f>
        <v/>
      </c>
      <c r="O397" s="15" t="str">
        <f aca="false">IF($L397="","",$L397+Einstellungen!$B$5)</f>
        <v/>
      </c>
      <c r="P397" s="16" t="str">
        <f aca="true">IF($B397="","",IF(OR($K397="Gewonnen",$K397="Verloren",$K397="Kein Interesse"),"abgeschlossen",IF(OR($K397="Neu",$K397="Recherchiert",$K397=""),"Erstkontakt vorbereiten",IF($K397="Kontaktiert",IF($L397="","Datum eintragen",IF(TODAY()&gt;=$O397,"Follow-up 3 fällig",IF(TODAY()&gt;=$N397,"Follow-up 2 fällig",IF(TODAY()&gt;=$M397,"Follow-up 1 fällig","warten")))),IF($K397="Antwort","Antworten",IF($K397="Gespräch","Nachbereiten",IF($K397="Angebot","Angebot nachfassen","")))))))</f>
        <v/>
      </c>
      <c r="Q397" s="17"/>
      <c r="R397" s="13"/>
    </row>
    <row r="398" customFormat="false" ht="15" hidden="false" customHeight="tru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3"/>
      <c r="K398" s="12"/>
      <c r="L398" s="14"/>
      <c r="M398" s="15" t="str">
        <f aca="false">IF($L398="","",$L398+Einstellungen!$B$3)</f>
        <v/>
      </c>
      <c r="N398" s="15" t="str">
        <f aca="false">IF($L398="","",$L398+Einstellungen!$B$4)</f>
        <v/>
      </c>
      <c r="O398" s="15" t="str">
        <f aca="false">IF($L398="","",$L398+Einstellungen!$B$5)</f>
        <v/>
      </c>
      <c r="P398" s="16" t="str">
        <f aca="true">IF($B398="","",IF(OR($K398="Gewonnen",$K398="Verloren",$K398="Kein Interesse"),"abgeschlossen",IF(OR($K398="Neu",$K398="Recherchiert",$K398=""),"Erstkontakt vorbereiten",IF($K398="Kontaktiert",IF($L398="","Datum eintragen",IF(TODAY()&gt;=$O398,"Follow-up 3 fällig",IF(TODAY()&gt;=$N398,"Follow-up 2 fällig",IF(TODAY()&gt;=$M398,"Follow-up 1 fällig","warten")))),IF($K398="Antwort","Antworten",IF($K398="Gespräch","Nachbereiten",IF($K398="Angebot","Angebot nachfassen","")))))))</f>
        <v/>
      </c>
      <c r="Q398" s="17"/>
      <c r="R398" s="13"/>
    </row>
    <row r="399" customFormat="false" ht="15" hidden="false" customHeight="tru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3"/>
      <c r="K399" s="12"/>
      <c r="L399" s="14"/>
      <c r="M399" s="15" t="str">
        <f aca="false">IF($L399="","",$L399+Einstellungen!$B$3)</f>
        <v/>
      </c>
      <c r="N399" s="15" t="str">
        <f aca="false">IF($L399="","",$L399+Einstellungen!$B$4)</f>
        <v/>
      </c>
      <c r="O399" s="15" t="str">
        <f aca="false">IF($L399="","",$L399+Einstellungen!$B$5)</f>
        <v/>
      </c>
      <c r="P399" s="16" t="str">
        <f aca="true">IF($B399="","",IF(OR($K399="Gewonnen",$K399="Verloren",$K399="Kein Interesse"),"abgeschlossen",IF(OR($K399="Neu",$K399="Recherchiert",$K399=""),"Erstkontakt vorbereiten",IF($K399="Kontaktiert",IF($L399="","Datum eintragen",IF(TODAY()&gt;=$O399,"Follow-up 3 fällig",IF(TODAY()&gt;=$N399,"Follow-up 2 fällig",IF(TODAY()&gt;=$M399,"Follow-up 1 fällig","warten")))),IF($K399="Antwort","Antworten",IF($K399="Gespräch","Nachbereiten",IF($K399="Angebot","Angebot nachfassen","")))))))</f>
        <v/>
      </c>
      <c r="Q399" s="17"/>
      <c r="R399" s="13"/>
    </row>
    <row r="400" customFormat="false" ht="15" hidden="false" customHeight="tru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3"/>
      <c r="K400" s="12"/>
      <c r="L400" s="14"/>
      <c r="M400" s="15" t="str">
        <f aca="false">IF($L400="","",$L400+Einstellungen!$B$3)</f>
        <v/>
      </c>
      <c r="N400" s="15" t="str">
        <f aca="false">IF($L400="","",$L400+Einstellungen!$B$4)</f>
        <v/>
      </c>
      <c r="O400" s="15" t="str">
        <f aca="false">IF($L400="","",$L400+Einstellungen!$B$5)</f>
        <v/>
      </c>
      <c r="P400" s="16" t="str">
        <f aca="true">IF($B400="","",IF(OR($K400="Gewonnen",$K400="Verloren",$K400="Kein Interesse"),"abgeschlossen",IF(OR($K400="Neu",$K400="Recherchiert",$K400=""),"Erstkontakt vorbereiten",IF($K400="Kontaktiert",IF($L400="","Datum eintragen",IF(TODAY()&gt;=$O400,"Follow-up 3 fällig",IF(TODAY()&gt;=$N400,"Follow-up 2 fällig",IF(TODAY()&gt;=$M400,"Follow-up 1 fällig","warten")))),IF($K400="Antwort","Antworten",IF($K400="Gespräch","Nachbereiten",IF($K400="Angebot","Angebot nachfassen","")))))))</f>
        <v/>
      </c>
      <c r="Q400" s="17"/>
      <c r="R400" s="13"/>
    </row>
    <row r="401" customFormat="false" ht="15" hidden="false" customHeight="tru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  <c r="J401" s="13"/>
      <c r="K401" s="12"/>
      <c r="L401" s="14"/>
      <c r="M401" s="15" t="str">
        <f aca="false">IF($L401="","",$L401+Einstellungen!$B$3)</f>
        <v/>
      </c>
      <c r="N401" s="15" t="str">
        <f aca="false">IF($L401="","",$L401+Einstellungen!$B$4)</f>
        <v/>
      </c>
      <c r="O401" s="15" t="str">
        <f aca="false">IF($L401="","",$L401+Einstellungen!$B$5)</f>
        <v/>
      </c>
      <c r="P401" s="16" t="str">
        <f aca="true">IF($B401="","",IF(OR($K401="Gewonnen",$K401="Verloren",$K401="Kein Interesse"),"abgeschlossen",IF(OR($K401="Neu",$K401="Recherchiert",$K401=""),"Erstkontakt vorbereiten",IF($K401="Kontaktiert",IF($L401="","Datum eintragen",IF(TODAY()&gt;=$O401,"Follow-up 3 fällig",IF(TODAY()&gt;=$N401,"Follow-up 2 fällig",IF(TODAY()&gt;=$M401,"Follow-up 1 fällig","warten")))),IF($K401="Antwort","Antworten",IF($K401="Gespräch","Nachbereiten",IF($K401="Angebot","Angebot nachfassen","")))))))</f>
        <v/>
      </c>
      <c r="Q401" s="17"/>
      <c r="R401" s="13"/>
    </row>
    <row r="402" customFormat="false" ht="15" hidden="false" customHeight="tru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  <c r="J402" s="13"/>
      <c r="K402" s="12"/>
      <c r="L402" s="14"/>
      <c r="M402" s="15" t="str">
        <f aca="false">IF($L402="","",$L402+Einstellungen!$B$3)</f>
        <v/>
      </c>
      <c r="N402" s="15" t="str">
        <f aca="false">IF($L402="","",$L402+Einstellungen!$B$4)</f>
        <v/>
      </c>
      <c r="O402" s="15" t="str">
        <f aca="false">IF($L402="","",$L402+Einstellungen!$B$5)</f>
        <v/>
      </c>
      <c r="P402" s="16" t="str">
        <f aca="true">IF($B402="","",IF(OR($K402="Gewonnen",$K402="Verloren",$K402="Kein Interesse"),"abgeschlossen",IF(OR($K402="Neu",$K402="Recherchiert",$K402=""),"Erstkontakt vorbereiten",IF($K402="Kontaktiert",IF($L402="","Datum eintragen",IF(TODAY()&gt;=$O402,"Follow-up 3 fällig",IF(TODAY()&gt;=$N402,"Follow-up 2 fällig",IF(TODAY()&gt;=$M402,"Follow-up 1 fällig","warten")))),IF($K402="Antwort","Antworten",IF($K402="Gespräch","Nachbereiten",IF($K402="Angebot","Angebot nachfassen","")))))))</f>
        <v/>
      </c>
      <c r="Q402" s="17"/>
      <c r="R402" s="13"/>
    </row>
    <row r="403" customFormat="false" ht="15" hidden="false" customHeight="tru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  <c r="J403" s="13"/>
      <c r="K403" s="12"/>
      <c r="L403" s="14"/>
      <c r="M403" s="15" t="str">
        <f aca="false">IF($L403="","",$L403+Einstellungen!$B$3)</f>
        <v/>
      </c>
      <c r="N403" s="15" t="str">
        <f aca="false">IF($L403="","",$L403+Einstellungen!$B$4)</f>
        <v/>
      </c>
      <c r="O403" s="15" t="str">
        <f aca="false">IF($L403="","",$L403+Einstellungen!$B$5)</f>
        <v/>
      </c>
      <c r="P403" s="16" t="str">
        <f aca="true">IF($B403="","",IF(OR($K403="Gewonnen",$K403="Verloren",$K403="Kein Interesse"),"abgeschlossen",IF(OR($K403="Neu",$K403="Recherchiert",$K403=""),"Erstkontakt vorbereiten",IF($K403="Kontaktiert",IF($L403="","Datum eintragen",IF(TODAY()&gt;=$O403,"Follow-up 3 fällig",IF(TODAY()&gt;=$N403,"Follow-up 2 fällig",IF(TODAY()&gt;=$M403,"Follow-up 1 fällig","warten")))),IF($K403="Antwort","Antworten",IF($K403="Gespräch","Nachbereiten",IF($K403="Angebot","Angebot nachfassen","")))))))</f>
        <v/>
      </c>
      <c r="Q403" s="17"/>
      <c r="R403" s="13"/>
    </row>
    <row r="404" customFormat="false" ht="15" hidden="false" customHeight="tru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  <c r="J404" s="13"/>
      <c r="K404" s="12"/>
      <c r="L404" s="14"/>
      <c r="M404" s="15" t="str">
        <f aca="false">IF($L404="","",$L404+Einstellungen!$B$3)</f>
        <v/>
      </c>
      <c r="N404" s="15" t="str">
        <f aca="false">IF($L404="","",$L404+Einstellungen!$B$4)</f>
        <v/>
      </c>
      <c r="O404" s="15" t="str">
        <f aca="false">IF($L404="","",$L404+Einstellungen!$B$5)</f>
        <v/>
      </c>
      <c r="P404" s="16" t="str">
        <f aca="true">IF($B404="","",IF(OR($K404="Gewonnen",$K404="Verloren",$K404="Kein Interesse"),"abgeschlossen",IF(OR($K404="Neu",$K404="Recherchiert",$K404=""),"Erstkontakt vorbereiten",IF($K404="Kontaktiert",IF($L404="","Datum eintragen",IF(TODAY()&gt;=$O404,"Follow-up 3 fällig",IF(TODAY()&gt;=$N404,"Follow-up 2 fällig",IF(TODAY()&gt;=$M404,"Follow-up 1 fällig","warten")))),IF($K404="Antwort","Antworten",IF($K404="Gespräch","Nachbereiten",IF($K404="Angebot","Angebot nachfassen","")))))))</f>
        <v/>
      </c>
      <c r="Q404" s="17"/>
      <c r="R404" s="13"/>
    </row>
    <row r="405" customFormat="false" ht="15" hidden="false" customHeight="tru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  <c r="J405" s="13"/>
      <c r="K405" s="12"/>
      <c r="L405" s="14"/>
      <c r="M405" s="15" t="str">
        <f aca="false">IF($L405="","",$L405+Einstellungen!$B$3)</f>
        <v/>
      </c>
      <c r="N405" s="15" t="str">
        <f aca="false">IF($L405="","",$L405+Einstellungen!$B$4)</f>
        <v/>
      </c>
      <c r="O405" s="15" t="str">
        <f aca="false">IF($L405="","",$L405+Einstellungen!$B$5)</f>
        <v/>
      </c>
      <c r="P405" s="16" t="str">
        <f aca="true">IF($B405="","",IF(OR($K405="Gewonnen",$K405="Verloren",$K405="Kein Interesse"),"abgeschlossen",IF(OR($K405="Neu",$K405="Recherchiert",$K405=""),"Erstkontakt vorbereiten",IF($K405="Kontaktiert",IF($L405="","Datum eintragen",IF(TODAY()&gt;=$O405,"Follow-up 3 fällig",IF(TODAY()&gt;=$N405,"Follow-up 2 fällig",IF(TODAY()&gt;=$M405,"Follow-up 1 fällig","warten")))),IF($K405="Antwort","Antworten",IF($K405="Gespräch","Nachbereiten",IF($K405="Angebot","Angebot nachfassen","")))))))</f>
        <v/>
      </c>
      <c r="Q405" s="17"/>
      <c r="R405" s="13"/>
    </row>
    <row r="406" customFormat="false" ht="15" hidden="false" customHeight="tru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  <c r="J406" s="13"/>
      <c r="K406" s="12"/>
      <c r="L406" s="14"/>
      <c r="M406" s="15" t="str">
        <f aca="false">IF($L406="","",$L406+Einstellungen!$B$3)</f>
        <v/>
      </c>
      <c r="N406" s="15" t="str">
        <f aca="false">IF($L406="","",$L406+Einstellungen!$B$4)</f>
        <v/>
      </c>
      <c r="O406" s="15" t="str">
        <f aca="false">IF($L406="","",$L406+Einstellungen!$B$5)</f>
        <v/>
      </c>
      <c r="P406" s="16" t="str">
        <f aca="true">IF($B406="","",IF(OR($K406="Gewonnen",$K406="Verloren",$K406="Kein Interesse"),"abgeschlossen",IF(OR($K406="Neu",$K406="Recherchiert",$K406=""),"Erstkontakt vorbereiten",IF($K406="Kontaktiert",IF($L406="","Datum eintragen",IF(TODAY()&gt;=$O406,"Follow-up 3 fällig",IF(TODAY()&gt;=$N406,"Follow-up 2 fällig",IF(TODAY()&gt;=$M406,"Follow-up 1 fällig","warten")))),IF($K406="Antwort","Antworten",IF($K406="Gespräch","Nachbereiten",IF($K406="Angebot","Angebot nachfassen","")))))))</f>
        <v/>
      </c>
      <c r="Q406" s="17"/>
      <c r="R406" s="13"/>
    </row>
    <row r="407" customFormat="false" ht="15" hidden="false" customHeight="tru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  <c r="J407" s="13"/>
      <c r="K407" s="12"/>
      <c r="L407" s="14"/>
      <c r="M407" s="15" t="str">
        <f aca="false">IF($L407="","",$L407+Einstellungen!$B$3)</f>
        <v/>
      </c>
      <c r="N407" s="15" t="str">
        <f aca="false">IF($L407="","",$L407+Einstellungen!$B$4)</f>
        <v/>
      </c>
      <c r="O407" s="15" t="str">
        <f aca="false">IF($L407="","",$L407+Einstellungen!$B$5)</f>
        <v/>
      </c>
      <c r="P407" s="16" t="str">
        <f aca="true">IF($B407="","",IF(OR($K407="Gewonnen",$K407="Verloren",$K407="Kein Interesse"),"abgeschlossen",IF(OR($K407="Neu",$K407="Recherchiert",$K407=""),"Erstkontakt vorbereiten",IF($K407="Kontaktiert",IF($L407="","Datum eintragen",IF(TODAY()&gt;=$O407,"Follow-up 3 fällig",IF(TODAY()&gt;=$N407,"Follow-up 2 fällig",IF(TODAY()&gt;=$M407,"Follow-up 1 fällig","warten")))),IF($K407="Antwort","Antworten",IF($K407="Gespräch","Nachbereiten",IF($K407="Angebot","Angebot nachfassen","")))))))</f>
        <v/>
      </c>
      <c r="Q407" s="17"/>
      <c r="R407" s="13"/>
    </row>
    <row r="408" customFormat="false" ht="15" hidden="false" customHeight="tru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  <c r="J408" s="13"/>
      <c r="K408" s="12"/>
      <c r="L408" s="14"/>
      <c r="M408" s="15" t="str">
        <f aca="false">IF($L408="","",$L408+Einstellungen!$B$3)</f>
        <v/>
      </c>
      <c r="N408" s="15" t="str">
        <f aca="false">IF($L408="","",$L408+Einstellungen!$B$4)</f>
        <v/>
      </c>
      <c r="O408" s="15" t="str">
        <f aca="false">IF($L408="","",$L408+Einstellungen!$B$5)</f>
        <v/>
      </c>
      <c r="P408" s="16" t="str">
        <f aca="true">IF($B408="","",IF(OR($K408="Gewonnen",$K408="Verloren",$K408="Kein Interesse"),"abgeschlossen",IF(OR($K408="Neu",$K408="Recherchiert",$K408=""),"Erstkontakt vorbereiten",IF($K408="Kontaktiert",IF($L408="","Datum eintragen",IF(TODAY()&gt;=$O408,"Follow-up 3 fällig",IF(TODAY()&gt;=$N408,"Follow-up 2 fällig",IF(TODAY()&gt;=$M408,"Follow-up 1 fällig","warten")))),IF($K408="Antwort","Antworten",IF($K408="Gespräch","Nachbereiten",IF($K408="Angebot","Angebot nachfassen","")))))))</f>
        <v/>
      </c>
      <c r="Q408" s="17"/>
      <c r="R408" s="13"/>
    </row>
    <row r="409" customFormat="false" ht="15" hidden="false" customHeight="tru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  <c r="J409" s="13"/>
      <c r="K409" s="12"/>
      <c r="L409" s="14"/>
      <c r="M409" s="15" t="str">
        <f aca="false">IF($L409="","",$L409+Einstellungen!$B$3)</f>
        <v/>
      </c>
      <c r="N409" s="15" t="str">
        <f aca="false">IF($L409="","",$L409+Einstellungen!$B$4)</f>
        <v/>
      </c>
      <c r="O409" s="15" t="str">
        <f aca="false">IF($L409="","",$L409+Einstellungen!$B$5)</f>
        <v/>
      </c>
      <c r="P409" s="16" t="str">
        <f aca="true">IF($B409="","",IF(OR($K409="Gewonnen",$K409="Verloren",$K409="Kein Interesse"),"abgeschlossen",IF(OR($K409="Neu",$K409="Recherchiert",$K409=""),"Erstkontakt vorbereiten",IF($K409="Kontaktiert",IF($L409="","Datum eintragen",IF(TODAY()&gt;=$O409,"Follow-up 3 fällig",IF(TODAY()&gt;=$N409,"Follow-up 2 fällig",IF(TODAY()&gt;=$M409,"Follow-up 1 fällig","warten")))),IF($K409="Antwort","Antworten",IF($K409="Gespräch","Nachbereiten",IF($K409="Angebot","Angebot nachfassen","")))))))</f>
        <v/>
      </c>
      <c r="Q409" s="17"/>
      <c r="R409" s="13"/>
    </row>
    <row r="410" customFormat="false" ht="15" hidden="false" customHeight="tru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  <c r="J410" s="13"/>
      <c r="K410" s="12"/>
      <c r="L410" s="14"/>
      <c r="M410" s="15" t="str">
        <f aca="false">IF($L410="","",$L410+Einstellungen!$B$3)</f>
        <v/>
      </c>
      <c r="N410" s="15" t="str">
        <f aca="false">IF($L410="","",$L410+Einstellungen!$B$4)</f>
        <v/>
      </c>
      <c r="O410" s="15" t="str">
        <f aca="false">IF($L410="","",$L410+Einstellungen!$B$5)</f>
        <v/>
      </c>
      <c r="P410" s="16" t="str">
        <f aca="true">IF($B410="","",IF(OR($K410="Gewonnen",$K410="Verloren",$K410="Kein Interesse"),"abgeschlossen",IF(OR($K410="Neu",$K410="Recherchiert",$K410=""),"Erstkontakt vorbereiten",IF($K410="Kontaktiert",IF($L410="","Datum eintragen",IF(TODAY()&gt;=$O410,"Follow-up 3 fällig",IF(TODAY()&gt;=$N410,"Follow-up 2 fällig",IF(TODAY()&gt;=$M410,"Follow-up 1 fällig","warten")))),IF($K410="Antwort","Antworten",IF($K410="Gespräch","Nachbereiten",IF($K410="Angebot","Angebot nachfassen","")))))))</f>
        <v/>
      </c>
      <c r="Q410" s="17"/>
      <c r="R410" s="13"/>
    </row>
    <row r="411" customFormat="false" ht="15" hidden="false" customHeight="tru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  <c r="J411" s="13"/>
      <c r="K411" s="12"/>
      <c r="L411" s="14"/>
      <c r="M411" s="15" t="str">
        <f aca="false">IF($L411="","",$L411+Einstellungen!$B$3)</f>
        <v/>
      </c>
      <c r="N411" s="15" t="str">
        <f aca="false">IF($L411="","",$L411+Einstellungen!$B$4)</f>
        <v/>
      </c>
      <c r="O411" s="15" t="str">
        <f aca="false">IF($L411="","",$L411+Einstellungen!$B$5)</f>
        <v/>
      </c>
      <c r="P411" s="16" t="str">
        <f aca="true">IF($B411="","",IF(OR($K411="Gewonnen",$K411="Verloren",$K411="Kein Interesse"),"abgeschlossen",IF(OR($K411="Neu",$K411="Recherchiert",$K411=""),"Erstkontakt vorbereiten",IF($K411="Kontaktiert",IF($L411="","Datum eintragen",IF(TODAY()&gt;=$O411,"Follow-up 3 fällig",IF(TODAY()&gt;=$N411,"Follow-up 2 fällig",IF(TODAY()&gt;=$M411,"Follow-up 1 fällig","warten")))),IF($K411="Antwort","Antworten",IF($K411="Gespräch","Nachbereiten",IF($K411="Angebot","Angebot nachfassen","")))))))</f>
        <v/>
      </c>
      <c r="Q411" s="17"/>
      <c r="R411" s="13"/>
    </row>
    <row r="412" customFormat="false" ht="15" hidden="false" customHeight="tru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  <c r="J412" s="13"/>
      <c r="K412" s="12"/>
      <c r="L412" s="14"/>
      <c r="M412" s="15" t="str">
        <f aca="false">IF($L412="","",$L412+Einstellungen!$B$3)</f>
        <v/>
      </c>
      <c r="N412" s="15" t="str">
        <f aca="false">IF($L412="","",$L412+Einstellungen!$B$4)</f>
        <v/>
      </c>
      <c r="O412" s="15" t="str">
        <f aca="false">IF($L412="","",$L412+Einstellungen!$B$5)</f>
        <v/>
      </c>
      <c r="P412" s="16" t="str">
        <f aca="true">IF($B412="","",IF(OR($K412="Gewonnen",$K412="Verloren",$K412="Kein Interesse"),"abgeschlossen",IF(OR($K412="Neu",$K412="Recherchiert",$K412=""),"Erstkontakt vorbereiten",IF($K412="Kontaktiert",IF($L412="","Datum eintragen",IF(TODAY()&gt;=$O412,"Follow-up 3 fällig",IF(TODAY()&gt;=$N412,"Follow-up 2 fällig",IF(TODAY()&gt;=$M412,"Follow-up 1 fällig","warten")))),IF($K412="Antwort","Antworten",IF($K412="Gespräch","Nachbereiten",IF($K412="Angebot","Angebot nachfassen","")))))))</f>
        <v/>
      </c>
      <c r="Q412" s="17"/>
      <c r="R412" s="13"/>
    </row>
    <row r="413" customFormat="false" ht="15" hidden="false" customHeight="tru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  <c r="J413" s="13"/>
      <c r="K413" s="12"/>
      <c r="L413" s="14"/>
      <c r="M413" s="15" t="str">
        <f aca="false">IF($L413="","",$L413+Einstellungen!$B$3)</f>
        <v/>
      </c>
      <c r="N413" s="15" t="str">
        <f aca="false">IF($L413="","",$L413+Einstellungen!$B$4)</f>
        <v/>
      </c>
      <c r="O413" s="15" t="str">
        <f aca="false">IF($L413="","",$L413+Einstellungen!$B$5)</f>
        <v/>
      </c>
      <c r="P413" s="16" t="str">
        <f aca="true">IF($B413="","",IF(OR($K413="Gewonnen",$K413="Verloren",$K413="Kein Interesse"),"abgeschlossen",IF(OR($K413="Neu",$K413="Recherchiert",$K413=""),"Erstkontakt vorbereiten",IF($K413="Kontaktiert",IF($L413="","Datum eintragen",IF(TODAY()&gt;=$O413,"Follow-up 3 fällig",IF(TODAY()&gt;=$N413,"Follow-up 2 fällig",IF(TODAY()&gt;=$M413,"Follow-up 1 fällig","warten")))),IF($K413="Antwort","Antworten",IF($K413="Gespräch","Nachbereiten",IF($K413="Angebot","Angebot nachfassen","")))))))</f>
        <v/>
      </c>
      <c r="Q413" s="17"/>
      <c r="R413" s="13"/>
    </row>
    <row r="414" customFormat="false" ht="15" hidden="false" customHeight="tru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  <c r="J414" s="13"/>
      <c r="K414" s="12"/>
      <c r="L414" s="14"/>
      <c r="M414" s="15" t="str">
        <f aca="false">IF($L414="","",$L414+Einstellungen!$B$3)</f>
        <v/>
      </c>
      <c r="N414" s="15" t="str">
        <f aca="false">IF($L414="","",$L414+Einstellungen!$B$4)</f>
        <v/>
      </c>
      <c r="O414" s="15" t="str">
        <f aca="false">IF($L414="","",$L414+Einstellungen!$B$5)</f>
        <v/>
      </c>
      <c r="P414" s="16" t="str">
        <f aca="true">IF($B414="","",IF(OR($K414="Gewonnen",$K414="Verloren",$K414="Kein Interesse"),"abgeschlossen",IF(OR($K414="Neu",$K414="Recherchiert",$K414=""),"Erstkontakt vorbereiten",IF($K414="Kontaktiert",IF($L414="","Datum eintragen",IF(TODAY()&gt;=$O414,"Follow-up 3 fällig",IF(TODAY()&gt;=$N414,"Follow-up 2 fällig",IF(TODAY()&gt;=$M414,"Follow-up 1 fällig","warten")))),IF($K414="Antwort","Antworten",IF($K414="Gespräch","Nachbereiten",IF($K414="Angebot","Angebot nachfassen","")))))))</f>
        <v/>
      </c>
      <c r="Q414" s="17"/>
      <c r="R414" s="13"/>
    </row>
    <row r="415" customFormat="false" ht="15" hidden="false" customHeight="tru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  <c r="J415" s="13"/>
      <c r="K415" s="12"/>
      <c r="L415" s="14"/>
      <c r="M415" s="15" t="str">
        <f aca="false">IF($L415="","",$L415+Einstellungen!$B$3)</f>
        <v/>
      </c>
      <c r="N415" s="15" t="str">
        <f aca="false">IF($L415="","",$L415+Einstellungen!$B$4)</f>
        <v/>
      </c>
      <c r="O415" s="15" t="str">
        <f aca="false">IF($L415="","",$L415+Einstellungen!$B$5)</f>
        <v/>
      </c>
      <c r="P415" s="16" t="str">
        <f aca="true">IF($B415="","",IF(OR($K415="Gewonnen",$K415="Verloren",$K415="Kein Interesse"),"abgeschlossen",IF(OR($K415="Neu",$K415="Recherchiert",$K415=""),"Erstkontakt vorbereiten",IF($K415="Kontaktiert",IF($L415="","Datum eintragen",IF(TODAY()&gt;=$O415,"Follow-up 3 fällig",IF(TODAY()&gt;=$N415,"Follow-up 2 fällig",IF(TODAY()&gt;=$M415,"Follow-up 1 fällig","warten")))),IF($K415="Antwort","Antworten",IF($K415="Gespräch","Nachbereiten",IF($K415="Angebot","Angebot nachfassen","")))))))</f>
        <v/>
      </c>
      <c r="Q415" s="17"/>
      <c r="R415" s="13"/>
    </row>
    <row r="416" customFormat="false" ht="15" hidden="false" customHeight="tru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  <c r="J416" s="13"/>
      <c r="K416" s="12"/>
      <c r="L416" s="14"/>
      <c r="M416" s="15" t="str">
        <f aca="false">IF($L416="","",$L416+Einstellungen!$B$3)</f>
        <v/>
      </c>
      <c r="N416" s="15" t="str">
        <f aca="false">IF($L416="","",$L416+Einstellungen!$B$4)</f>
        <v/>
      </c>
      <c r="O416" s="15" t="str">
        <f aca="false">IF($L416="","",$L416+Einstellungen!$B$5)</f>
        <v/>
      </c>
      <c r="P416" s="16" t="str">
        <f aca="true">IF($B416="","",IF(OR($K416="Gewonnen",$K416="Verloren",$K416="Kein Interesse"),"abgeschlossen",IF(OR($K416="Neu",$K416="Recherchiert",$K416=""),"Erstkontakt vorbereiten",IF($K416="Kontaktiert",IF($L416="","Datum eintragen",IF(TODAY()&gt;=$O416,"Follow-up 3 fällig",IF(TODAY()&gt;=$N416,"Follow-up 2 fällig",IF(TODAY()&gt;=$M416,"Follow-up 1 fällig","warten")))),IF($K416="Antwort","Antworten",IF($K416="Gespräch","Nachbereiten",IF($K416="Angebot","Angebot nachfassen","")))))))</f>
        <v/>
      </c>
      <c r="Q416" s="17"/>
      <c r="R416" s="13"/>
    </row>
    <row r="417" customFormat="false" ht="15" hidden="false" customHeight="tru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  <c r="J417" s="13"/>
      <c r="K417" s="12"/>
      <c r="L417" s="14"/>
      <c r="M417" s="15" t="str">
        <f aca="false">IF($L417="","",$L417+Einstellungen!$B$3)</f>
        <v/>
      </c>
      <c r="N417" s="15" t="str">
        <f aca="false">IF($L417="","",$L417+Einstellungen!$B$4)</f>
        <v/>
      </c>
      <c r="O417" s="15" t="str">
        <f aca="false">IF($L417="","",$L417+Einstellungen!$B$5)</f>
        <v/>
      </c>
      <c r="P417" s="16" t="str">
        <f aca="true">IF($B417="","",IF(OR($K417="Gewonnen",$K417="Verloren",$K417="Kein Interesse"),"abgeschlossen",IF(OR($K417="Neu",$K417="Recherchiert",$K417=""),"Erstkontakt vorbereiten",IF($K417="Kontaktiert",IF($L417="","Datum eintragen",IF(TODAY()&gt;=$O417,"Follow-up 3 fällig",IF(TODAY()&gt;=$N417,"Follow-up 2 fällig",IF(TODAY()&gt;=$M417,"Follow-up 1 fällig","warten")))),IF($K417="Antwort","Antworten",IF($K417="Gespräch","Nachbereiten",IF($K417="Angebot","Angebot nachfassen","")))))))</f>
        <v/>
      </c>
      <c r="Q417" s="17"/>
      <c r="R417" s="13"/>
    </row>
    <row r="418" customFormat="false" ht="15" hidden="false" customHeight="tru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  <c r="J418" s="13"/>
      <c r="K418" s="12"/>
      <c r="L418" s="14"/>
      <c r="M418" s="15" t="str">
        <f aca="false">IF($L418="","",$L418+Einstellungen!$B$3)</f>
        <v/>
      </c>
      <c r="N418" s="15" t="str">
        <f aca="false">IF($L418="","",$L418+Einstellungen!$B$4)</f>
        <v/>
      </c>
      <c r="O418" s="15" t="str">
        <f aca="false">IF($L418="","",$L418+Einstellungen!$B$5)</f>
        <v/>
      </c>
      <c r="P418" s="16" t="str">
        <f aca="true">IF($B418="","",IF(OR($K418="Gewonnen",$K418="Verloren",$K418="Kein Interesse"),"abgeschlossen",IF(OR($K418="Neu",$K418="Recherchiert",$K418=""),"Erstkontakt vorbereiten",IF($K418="Kontaktiert",IF($L418="","Datum eintragen",IF(TODAY()&gt;=$O418,"Follow-up 3 fällig",IF(TODAY()&gt;=$N418,"Follow-up 2 fällig",IF(TODAY()&gt;=$M418,"Follow-up 1 fällig","warten")))),IF($K418="Antwort","Antworten",IF($K418="Gespräch","Nachbereiten",IF($K418="Angebot","Angebot nachfassen","")))))))</f>
        <v/>
      </c>
      <c r="Q418" s="17"/>
      <c r="R418" s="13"/>
    </row>
    <row r="419" customFormat="false" ht="15" hidden="false" customHeight="tru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  <c r="J419" s="13"/>
      <c r="K419" s="12"/>
      <c r="L419" s="14"/>
      <c r="M419" s="15" t="str">
        <f aca="false">IF($L419="","",$L419+Einstellungen!$B$3)</f>
        <v/>
      </c>
      <c r="N419" s="15" t="str">
        <f aca="false">IF($L419="","",$L419+Einstellungen!$B$4)</f>
        <v/>
      </c>
      <c r="O419" s="15" t="str">
        <f aca="false">IF($L419="","",$L419+Einstellungen!$B$5)</f>
        <v/>
      </c>
      <c r="P419" s="16" t="str">
        <f aca="true">IF($B419="","",IF(OR($K419="Gewonnen",$K419="Verloren",$K419="Kein Interesse"),"abgeschlossen",IF(OR($K419="Neu",$K419="Recherchiert",$K419=""),"Erstkontakt vorbereiten",IF($K419="Kontaktiert",IF($L419="","Datum eintragen",IF(TODAY()&gt;=$O419,"Follow-up 3 fällig",IF(TODAY()&gt;=$N419,"Follow-up 2 fällig",IF(TODAY()&gt;=$M419,"Follow-up 1 fällig","warten")))),IF($K419="Antwort","Antworten",IF($K419="Gespräch","Nachbereiten",IF($K419="Angebot","Angebot nachfassen","")))))))</f>
        <v/>
      </c>
      <c r="Q419" s="17"/>
      <c r="R419" s="13"/>
    </row>
    <row r="420" customFormat="false" ht="15" hidden="false" customHeight="tru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  <c r="J420" s="13"/>
      <c r="K420" s="12"/>
      <c r="L420" s="14"/>
      <c r="M420" s="15" t="str">
        <f aca="false">IF($L420="","",$L420+Einstellungen!$B$3)</f>
        <v/>
      </c>
      <c r="N420" s="15" t="str">
        <f aca="false">IF($L420="","",$L420+Einstellungen!$B$4)</f>
        <v/>
      </c>
      <c r="O420" s="15" t="str">
        <f aca="false">IF($L420="","",$L420+Einstellungen!$B$5)</f>
        <v/>
      </c>
      <c r="P420" s="16" t="str">
        <f aca="true">IF($B420="","",IF(OR($K420="Gewonnen",$K420="Verloren",$K420="Kein Interesse"),"abgeschlossen",IF(OR($K420="Neu",$K420="Recherchiert",$K420=""),"Erstkontakt vorbereiten",IF($K420="Kontaktiert",IF($L420="","Datum eintragen",IF(TODAY()&gt;=$O420,"Follow-up 3 fällig",IF(TODAY()&gt;=$N420,"Follow-up 2 fällig",IF(TODAY()&gt;=$M420,"Follow-up 1 fällig","warten")))),IF($K420="Antwort","Antworten",IF($K420="Gespräch","Nachbereiten",IF($K420="Angebot","Angebot nachfassen","")))))))</f>
        <v/>
      </c>
      <c r="Q420" s="17"/>
      <c r="R420" s="13"/>
    </row>
    <row r="421" customFormat="false" ht="15" hidden="false" customHeight="tru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  <c r="J421" s="13"/>
      <c r="K421" s="12"/>
      <c r="L421" s="14"/>
      <c r="M421" s="15" t="str">
        <f aca="false">IF($L421="","",$L421+Einstellungen!$B$3)</f>
        <v/>
      </c>
      <c r="N421" s="15" t="str">
        <f aca="false">IF($L421="","",$L421+Einstellungen!$B$4)</f>
        <v/>
      </c>
      <c r="O421" s="15" t="str">
        <f aca="false">IF($L421="","",$L421+Einstellungen!$B$5)</f>
        <v/>
      </c>
      <c r="P421" s="16" t="str">
        <f aca="true">IF($B421="","",IF(OR($K421="Gewonnen",$K421="Verloren",$K421="Kein Interesse"),"abgeschlossen",IF(OR($K421="Neu",$K421="Recherchiert",$K421=""),"Erstkontakt vorbereiten",IF($K421="Kontaktiert",IF($L421="","Datum eintragen",IF(TODAY()&gt;=$O421,"Follow-up 3 fällig",IF(TODAY()&gt;=$N421,"Follow-up 2 fällig",IF(TODAY()&gt;=$M421,"Follow-up 1 fällig","warten")))),IF($K421="Antwort","Antworten",IF($K421="Gespräch","Nachbereiten",IF($K421="Angebot","Angebot nachfassen","")))))))</f>
        <v/>
      </c>
      <c r="Q421" s="17"/>
      <c r="R421" s="13"/>
    </row>
    <row r="422" customFormat="false" ht="15" hidden="false" customHeight="tru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  <c r="J422" s="13"/>
      <c r="K422" s="12"/>
      <c r="L422" s="14"/>
      <c r="M422" s="15" t="str">
        <f aca="false">IF($L422="","",$L422+Einstellungen!$B$3)</f>
        <v/>
      </c>
      <c r="N422" s="15" t="str">
        <f aca="false">IF($L422="","",$L422+Einstellungen!$B$4)</f>
        <v/>
      </c>
      <c r="O422" s="15" t="str">
        <f aca="false">IF($L422="","",$L422+Einstellungen!$B$5)</f>
        <v/>
      </c>
      <c r="P422" s="16" t="str">
        <f aca="true">IF($B422="","",IF(OR($K422="Gewonnen",$K422="Verloren",$K422="Kein Interesse"),"abgeschlossen",IF(OR($K422="Neu",$K422="Recherchiert",$K422=""),"Erstkontakt vorbereiten",IF($K422="Kontaktiert",IF($L422="","Datum eintragen",IF(TODAY()&gt;=$O422,"Follow-up 3 fällig",IF(TODAY()&gt;=$N422,"Follow-up 2 fällig",IF(TODAY()&gt;=$M422,"Follow-up 1 fällig","warten")))),IF($K422="Antwort","Antworten",IF($K422="Gespräch","Nachbereiten",IF($K422="Angebot","Angebot nachfassen","")))))))</f>
        <v/>
      </c>
      <c r="Q422" s="17"/>
      <c r="R422" s="13"/>
    </row>
    <row r="423" customFormat="false" ht="15" hidden="false" customHeight="tru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  <c r="J423" s="13"/>
      <c r="K423" s="12"/>
      <c r="L423" s="14"/>
      <c r="M423" s="15" t="str">
        <f aca="false">IF($L423="","",$L423+Einstellungen!$B$3)</f>
        <v/>
      </c>
      <c r="N423" s="15" t="str">
        <f aca="false">IF($L423="","",$L423+Einstellungen!$B$4)</f>
        <v/>
      </c>
      <c r="O423" s="15" t="str">
        <f aca="false">IF($L423="","",$L423+Einstellungen!$B$5)</f>
        <v/>
      </c>
      <c r="P423" s="16" t="str">
        <f aca="true">IF($B423="","",IF(OR($K423="Gewonnen",$K423="Verloren",$K423="Kein Interesse"),"abgeschlossen",IF(OR($K423="Neu",$K423="Recherchiert",$K423=""),"Erstkontakt vorbereiten",IF($K423="Kontaktiert",IF($L423="","Datum eintragen",IF(TODAY()&gt;=$O423,"Follow-up 3 fällig",IF(TODAY()&gt;=$N423,"Follow-up 2 fällig",IF(TODAY()&gt;=$M423,"Follow-up 1 fällig","warten")))),IF($K423="Antwort","Antworten",IF($K423="Gespräch","Nachbereiten",IF($K423="Angebot","Angebot nachfassen","")))))))</f>
        <v/>
      </c>
      <c r="Q423" s="17"/>
      <c r="R423" s="13"/>
    </row>
    <row r="424" customFormat="false" ht="15" hidden="false" customHeight="tru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  <c r="J424" s="13"/>
      <c r="K424" s="12"/>
      <c r="L424" s="14"/>
      <c r="M424" s="15" t="str">
        <f aca="false">IF($L424="","",$L424+Einstellungen!$B$3)</f>
        <v/>
      </c>
      <c r="N424" s="15" t="str">
        <f aca="false">IF($L424="","",$L424+Einstellungen!$B$4)</f>
        <v/>
      </c>
      <c r="O424" s="15" t="str">
        <f aca="false">IF($L424="","",$L424+Einstellungen!$B$5)</f>
        <v/>
      </c>
      <c r="P424" s="16" t="str">
        <f aca="true">IF($B424="","",IF(OR($K424="Gewonnen",$K424="Verloren",$K424="Kein Interesse"),"abgeschlossen",IF(OR($K424="Neu",$K424="Recherchiert",$K424=""),"Erstkontakt vorbereiten",IF($K424="Kontaktiert",IF($L424="","Datum eintragen",IF(TODAY()&gt;=$O424,"Follow-up 3 fällig",IF(TODAY()&gt;=$N424,"Follow-up 2 fällig",IF(TODAY()&gt;=$M424,"Follow-up 1 fällig","warten")))),IF($K424="Antwort","Antworten",IF($K424="Gespräch","Nachbereiten",IF($K424="Angebot","Angebot nachfassen","")))))))</f>
        <v/>
      </c>
      <c r="Q424" s="17"/>
      <c r="R424" s="13"/>
    </row>
    <row r="425" customFormat="false" ht="15" hidden="false" customHeight="tru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  <c r="J425" s="13"/>
      <c r="K425" s="12"/>
      <c r="L425" s="14"/>
      <c r="M425" s="15" t="str">
        <f aca="false">IF($L425="","",$L425+Einstellungen!$B$3)</f>
        <v/>
      </c>
      <c r="N425" s="15" t="str">
        <f aca="false">IF($L425="","",$L425+Einstellungen!$B$4)</f>
        <v/>
      </c>
      <c r="O425" s="15" t="str">
        <f aca="false">IF($L425="","",$L425+Einstellungen!$B$5)</f>
        <v/>
      </c>
      <c r="P425" s="16" t="str">
        <f aca="true">IF($B425="","",IF(OR($K425="Gewonnen",$K425="Verloren",$K425="Kein Interesse"),"abgeschlossen",IF(OR($K425="Neu",$K425="Recherchiert",$K425=""),"Erstkontakt vorbereiten",IF($K425="Kontaktiert",IF($L425="","Datum eintragen",IF(TODAY()&gt;=$O425,"Follow-up 3 fällig",IF(TODAY()&gt;=$N425,"Follow-up 2 fällig",IF(TODAY()&gt;=$M425,"Follow-up 1 fällig","warten")))),IF($K425="Antwort","Antworten",IF($K425="Gespräch","Nachbereiten",IF($K425="Angebot","Angebot nachfassen","")))))))</f>
        <v/>
      </c>
      <c r="Q425" s="17"/>
      <c r="R425" s="13"/>
    </row>
    <row r="426" customFormat="false" ht="15" hidden="false" customHeight="tru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  <c r="J426" s="13"/>
      <c r="K426" s="12"/>
      <c r="L426" s="14"/>
      <c r="M426" s="15" t="str">
        <f aca="false">IF($L426="","",$L426+Einstellungen!$B$3)</f>
        <v/>
      </c>
      <c r="N426" s="15" t="str">
        <f aca="false">IF($L426="","",$L426+Einstellungen!$B$4)</f>
        <v/>
      </c>
      <c r="O426" s="15" t="str">
        <f aca="false">IF($L426="","",$L426+Einstellungen!$B$5)</f>
        <v/>
      </c>
      <c r="P426" s="16" t="str">
        <f aca="true">IF($B426="","",IF(OR($K426="Gewonnen",$K426="Verloren",$K426="Kein Interesse"),"abgeschlossen",IF(OR($K426="Neu",$K426="Recherchiert",$K426=""),"Erstkontakt vorbereiten",IF($K426="Kontaktiert",IF($L426="","Datum eintragen",IF(TODAY()&gt;=$O426,"Follow-up 3 fällig",IF(TODAY()&gt;=$N426,"Follow-up 2 fällig",IF(TODAY()&gt;=$M426,"Follow-up 1 fällig","warten")))),IF($K426="Antwort","Antworten",IF($K426="Gespräch","Nachbereiten",IF($K426="Angebot","Angebot nachfassen","")))))))</f>
        <v/>
      </c>
      <c r="Q426" s="17"/>
      <c r="R426" s="13"/>
    </row>
    <row r="427" customFormat="false" ht="15" hidden="false" customHeight="tru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  <c r="J427" s="13"/>
      <c r="K427" s="12"/>
      <c r="L427" s="14"/>
      <c r="M427" s="15" t="str">
        <f aca="false">IF($L427="","",$L427+Einstellungen!$B$3)</f>
        <v/>
      </c>
      <c r="N427" s="15" t="str">
        <f aca="false">IF($L427="","",$L427+Einstellungen!$B$4)</f>
        <v/>
      </c>
      <c r="O427" s="15" t="str">
        <f aca="false">IF($L427="","",$L427+Einstellungen!$B$5)</f>
        <v/>
      </c>
      <c r="P427" s="16" t="str">
        <f aca="true">IF($B427="","",IF(OR($K427="Gewonnen",$K427="Verloren",$K427="Kein Interesse"),"abgeschlossen",IF(OR($K427="Neu",$K427="Recherchiert",$K427=""),"Erstkontakt vorbereiten",IF($K427="Kontaktiert",IF($L427="","Datum eintragen",IF(TODAY()&gt;=$O427,"Follow-up 3 fällig",IF(TODAY()&gt;=$N427,"Follow-up 2 fällig",IF(TODAY()&gt;=$M427,"Follow-up 1 fällig","warten")))),IF($K427="Antwort","Antworten",IF($K427="Gespräch","Nachbereiten",IF($K427="Angebot","Angebot nachfassen","")))))))</f>
        <v/>
      </c>
      <c r="Q427" s="17"/>
      <c r="R427" s="13"/>
    </row>
    <row r="428" customFormat="false" ht="15" hidden="false" customHeight="tru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  <c r="J428" s="13"/>
      <c r="K428" s="12"/>
      <c r="L428" s="14"/>
      <c r="M428" s="15" t="str">
        <f aca="false">IF($L428="","",$L428+Einstellungen!$B$3)</f>
        <v/>
      </c>
      <c r="N428" s="15" t="str">
        <f aca="false">IF($L428="","",$L428+Einstellungen!$B$4)</f>
        <v/>
      </c>
      <c r="O428" s="15" t="str">
        <f aca="false">IF($L428="","",$L428+Einstellungen!$B$5)</f>
        <v/>
      </c>
      <c r="P428" s="16" t="str">
        <f aca="true">IF($B428="","",IF(OR($K428="Gewonnen",$K428="Verloren",$K428="Kein Interesse"),"abgeschlossen",IF(OR($K428="Neu",$K428="Recherchiert",$K428=""),"Erstkontakt vorbereiten",IF($K428="Kontaktiert",IF($L428="","Datum eintragen",IF(TODAY()&gt;=$O428,"Follow-up 3 fällig",IF(TODAY()&gt;=$N428,"Follow-up 2 fällig",IF(TODAY()&gt;=$M428,"Follow-up 1 fällig","warten")))),IF($K428="Antwort","Antworten",IF($K428="Gespräch","Nachbereiten",IF($K428="Angebot","Angebot nachfassen","")))))))</f>
        <v/>
      </c>
      <c r="Q428" s="17"/>
      <c r="R428" s="13"/>
    </row>
    <row r="429" customFormat="false" ht="15" hidden="false" customHeight="tru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  <c r="J429" s="13"/>
      <c r="K429" s="12"/>
      <c r="L429" s="14"/>
      <c r="M429" s="15" t="str">
        <f aca="false">IF($L429="","",$L429+Einstellungen!$B$3)</f>
        <v/>
      </c>
      <c r="N429" s="15" t="str">
        <f aca="false">IF($L429="","",$L429+Einstellungen!$B$4)</f>
        <v/>
      </c>
      <c r="O429" s="15" t="str">
        <f aca="false">IF($L429="","",$L429+Einstellungen!$B$5)</f>
        <v/>
      </c>
      <c r="P429" s="16" t="str">
        <f aca="true">IF($B429="","",IF(OR($K429="Gewonnen",$K429="Verloren",$K429="Kein Interesse"),"abgeschlossen",IF(OR($K429="Neu",$K429="Recherchiert",$K429=""),"Erstkontakt vorbereiten",IF($K429="Kontaktiert",IF($L429="","Datum eintragen",IF(TODAY()&gt;=$O429,"Follow-up 3 fällig",IF(TODAY()&gt;=$N429,"Follow-up 2 fällig",IF(TODAY()&gt;=$M429,"Follow-up 1 fällig","warten")))),IF($K429="Antwort","Antworten",IF($K429="Gespräch","Nachbereiten",IF($K429="Angebot","Angebot nachfassen","")))))))</f>
        <v/>
      </c>
      <c r="Q429" s="17"/>
      <c r="R429" s="13"/>
    </row>
    <row r="430" customFormat="false" ht="15" hidden="false" customHeight="tru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  <c r="J430" s="13"/>
      <c r="K430" s="12"/>
      <c r="L430" s="14"/>
      <c r="M430" s="15" t="str">
        <f aca="false">IF($L430="","",$L430+Einstellungen!$B$3)</f>
        <v/>
      </c>
      <c r="N430" s="15" t="str">
        <f aca="false">IF($L430="","",$L430+Einstellungen!$B$4)</f>
        <v/>
      </c>
      <c r="O430" s="15" t="str">
        <f aca="false">IF($L430="","",$L430+Einstellungen!$B$5)</f>
        <v/>
      </c>
      <c r="P430" s="16" t="str">
        <f aca="true">IF($B430="","",IF(OR($K430="Gewonnen",$K430="Verloren",$K430="Kein Interesse"),"abgeschlossen",IF(OR($K430="Neu",$K430="Recherchiert",$K430=""),"Erstkontakt vorbereiten",IF($K430="Kontaktiert",IF($L430="","Datum eintragen",IF(TODAY()&gt;=$O430,"Follow-up 3 fällig",IF(TODAY()&gt;=$N430,"Follow-up 2 fällig",IF(TODAY()&gt;=$M430,"Follow-up 1 fällig","warten")))),IF($K430="Antwort","Antworten",IF($K430="Gespräch","Nachbereiten",IF($K430="Angebot","Angebot nachfassen","")))))))</f>
        <v/>
      </c>
      <c r="Q430" s="17"/>
      <c r="R430" s="13"/>
    </row>
    <row r="431" customFormat="false" ht="15" hidden="false" customHeight="tru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  <c r="J431" s="13"/>
      <c r="K431" s="12"/>
      <c r="L431" s="14"/>
      <c r="M431" s="15" t="str">
        <f aca="false">IF($L431="","",$L431+Einstellungen!$B$3)</f>
        <v/>
      </c>
      <c r="N431" s="15" t="str">
        <f aca="false">IF($L431="","",$L431+Einstellungen!$B$4)</f>
        <v/>
      </c>
      <c r="O431" s="15" t="str">
        <f aca="false">IF($L431="","",$L431+Einstellungen!$B$5)</f>
        <v/>
      </c>
      <c r="P431" s="16" t="str">
        <f aca="true">IF($B431="","",IF(OR($K431="Gewonnen",$K431="Verloren",$K431="Kein Interesse"),"abgeschlossen",IF(OR($K431="Neu",$K431="Recherchiert",$K431=""),"Erstkontakt vorbereiten",IF($K431="Kontaktiert",IF($L431="","Datum eintragen",IF(TODAY()&gt;=$O431,"Follow-up 3 fällig",IF(TODAY()&gt;=$N431,"Follow-up 2 fällig",IF(TODAY()&gt;=$M431,"Follow-up 1 fällig","warten")))),IF($K431="Antwort","Antworten",IF($K431="Gespräch","Nachbereiten",IF($K431="Angebot","Angebot nachfassen","")))))))</f>
        <v/>
      </c>
      <c r="Q431" s="17"/>
      <c r="R431" s="13"/>
    </row>
    <row r="432" customFormat="false" ht="15" hidden="false" customHeight="tru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  <c r="J432" s="13"/>
      <c r="K432" s="12"/>
      <c r="L432" s="14"/>
      <c r="M432" s="15" t="str">
        <f aca="false">IF($L432="","",$L432+Einstellungen!$B$3)</f>
        <v/>
      </c>
      <c r="N432" s="15" t="str">
        <f aca="false">IF($L432="","",$L432+Einstellungen!$B$4)</f>
        <v/>
      </c>
      <c r="O432" s="15" t="str">
        <f aca="false">IF($L432="","",$L432+Einstellungen!$B$5)</f>
        <v/>
      </c>
      <c r="P432" s="16" t="str">
        <f aca="true">IF($B432="","",IF(OR($K432="Gewonnen",$K432="Verloren",$K432="Kein Interesse"),"abgeschlossen",IF(OR($K432="Neu",$K432="Recherchiert",$K432=""),"Erstkontakt vorbereiten",IF($K432="Kontaktiert",IF($L432="","Datum eintragen",IF(TODAY()&gt;=$O432,"Follow-up 3 fällig",IF(TODAY()&gt;=$N432,"Follow-up 2 fällig",IF(TODAY()&gt;=$M432,"Follow-up 1 fällig","warten")))),IF($K432="Antwort","Antworten",IF($K432="Gespräch","Nachbereiten",IF($K432="Angebot","Angebot nachfassen","")))))))</f>
        <v/>
      </c>
      <c r="Q432" s="17"/>
      <c r="R432" s="13"/>
    </row>
    <row r="433" customFormat="false" ht="15" hidden="false" customHeight="tru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  <c r="J433" s="13"/>
      <c r="K433" s="12"/>
      <c r="L433" s="14"/>
      <c r="M433" s="15" t="str">
        <f aca="false">IF($L433="","",$L433+Einstellungen!$B$3)</f>
        <v/>
      </c>
      <c r="N433" s="15" t="str">
        <f aca="false">IF($L433="","",$L433+Einstellungen!$B$4)</f>
        <v/>
      </c>
      <c r="O433" s="15" t="str">
        <f aca="false">IF($L433="","",$L433+Einstellungen!$B$5)</f>
        <v/>
      </c>
      <c r="P433" s="16" t="str">
        <f aca="true">IF($B433="","",IF(OR($K433="Gewonnen",$K433="Verloren",$K433="Kein Interesse"),"abgeschlossen",IF(OR($K433="Neu",$K433="Recherchiert",$K433=""),"Erstkontakt vorbereiten",IF($K433="Kontaktiert",IF($L433="","Datum eintragen",IF(TODAY()&gt;=$O433,"Follow-up 3 fällig",IF(TODAY()&gt;=$N433,"Follow-up 2 fällig",IF(TODAY()&gt;=$M433,"Follow-up 1 fällig","warten")))),IF($K433="Antwort","Antworten",IF($K433="Gespräch","Nachbereiten",IF($K433="Angebot","Angebot nachfassen","")))))))</f>
        <v/>
      </c>
      <c r="Q433" s="17"/>
      <c r="R433" s="13"/>
    </row>
    <row r="434" customFormat="false" ht="15" hidden="false" customHeight="tru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  <c r="J434" s="13"/>
      <c r="K434" s="12"/>
      <c r="L434" s="14"/>
      <c r="M434" s="15" t="str">
        <f aca="false">IF($L434="","",$L434+Einstellungen!$B$3)</f>
        <v/>
      </c>
      <c r="N434" s="15" t="str">
        <f aca="false">IF($L434="","",$L434+Einstellungen!$B$4)</f>
        <v/>
      </c>
      <c r="O434" s="15" t="str">
        <f aca="false">IF($L434="","",$L434+Einstellungen!$B$5)</f>
        <v/>
      </c>
      <c r="P434" s="16" t="str">
        <f aca="true">IF($B434="","",IF(OR($K434="Gewonnen",$K434="Verloren",$K434="Kein Interesse"),"abgeschlossen",IF(OR($K434="Neu",$K434="Recherchiert",$K434=""),"Erstkontakt vorbereiten",IF($K434="Kontaktiert",IF($L434="","Datum eintragen",IF(TODAY()&gt;=$O434,"Follow-up 3 fällig",IF(TODAY()&gt;=$N434,"Follow-up 2 fällig",IF(TODAY()&gt;=$M434,"Follow-up 1 fällig","warten")))),IF($K434="Antwort","Antworten",IF($K434="Gespräch","Nachbereiten",IF($K434="Angebot","Angebot nachfassen","")))))))</f>
        <v/>
      </c>
      <c r="Q434" s="17"/>
      <c r="R434" s="13"/>
    </row>
    <row r="435" customFormat="false" ht="15" hidden="false" customHeight="tru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  <c r="J435" s="13"/>
      <c r="K435" s="12"/>
      <c r="L435" s="14"/>
      <c r="M435" s="15" t="str">
        <f aca="false">IF($L435="","",$L435+Einstellungen!$B$3)</f>
        <v/>
      </c>
      <c r="N435" s="15" t="str">
        <f aca="false">IF($L435="","",$L435+Einstellungen!$B$4)</f>
        <v/>
      </c>
      <c r="O435" s="15" t="str">
        <f aca="false">IF($L435="","",$L435+Einstellungen!$B$5)</f>
        <v/>
      </c>
      <c r="P435" s="16" t="str">
        <f aca="true">IF($B435="","",IF(OR($K435="Gewonnen",$K435="Verloren",$K435="Kein Interesse"),"abgeschlossen",IF(OR($K435="Neu",$K435="Recherchiert",$K435=""),"Erstkontakt vorbereiten",IF($K435="Kontaktiert",IF($L435="","Datum eintragen",IF(TODAY()&gt;=$O435,"Follow-up 3 fällig",IF(TODAY()&gt;=$N435,"Follow-up 2 fällig",IF(TODAY()&gt;=$M435,"Follow-up 1 fällig","warten")))),IF($K435="Antwort","Antworten",IF($K435="Gespräch","Nachbereiten",IF($K435="Angebot","Angebot nachfassen","")))))))</f>
        <v/>
      </c>
      <c r="Q435" s="17"/>
      <c r="R435" s="13"/>
    </row>
    <row r="436" customFormat="false" ht="15" hidden="false" customHeight="tru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  <c r="J436" s="13"/>
      <c r="K436" s="12"/>
      <c r="L436" s="14"/>
      <c r="M436" s="15" t="str">
        <f aca="false">IF($L436="","",$L436+Einstellungen!$B$3)</f>
        <v/>
      </c>
      <c r="N436" s="15" t="str">
        <f aca="false">IF($L436="","",$L436+Einstellungen!$B$4)</f>
        <v/>
      </c>
      <c r="O436" s="15" t="str">
        <f aca="false">IF($L436="","",$L436+Einstellungen!$B$5)</f>
        <v/>
      </c>
      <c r="P436" s="16" t="str">
        <f aca="true">IF($B436="","",IF(OR($K436="Gewonnen",$K436="Verloren",$K436="Kein Interesse"),"abgeschlossen",IF(OR($K436="Neu",$K436="Recherchiert",$K436=""),"Erstkontakt vorbereiten",IF($K436="Kontaktiert",IF($L436="","Datum eintragen",IF(TODAY()&gt;=$O436,"Follow-up 3 fällig",IF(TODAY()&gt;=$N436,"Follow-up 2 fällig",IF(TODAY()&gt;=$M436,"Follow-up 1 fällig","warten")))),IF($K436="Antwort","Antworten",IF($K436="Gespräch","Nachbereiten",IF($K436="Angebot","Angebot nachfassen","")))))))</f>
        <v/>
      </c>
      <c r="Q436" s="17"/>
      <c r="R436" s="13"/>
    </row>
    <row r="437" customFormat="false" ht="15" hidden="false" customHeight="tru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  <c r="J437" s="13"/>
      <c r="K437" s="12"/>
      <c r="L437" s="14"/>
      <c r="M437" s="15" t="str">
        <f aca="false">IF($L437="","",$L437+Einstellungen!$B$3)</f>
        <v/>
      </c>
      <c r="N437" s="15" t="str">
        <f aca="false">IF($L437="","",$L437+Einstellungen!$B$4)</f>
        <v/>
      </c>
      <c r="O437" s="15" t="str">
        <f aca="false">IF($L437="","",$L437+Einstellungen!$B$5)</f>
        <v/>
      </c>
      <c r="P437" s="16" t="str">
        <f aca="true">IF($B437="","",IF(OR($K437="Gewonnen",$K437="Verloren",$K437="Kein Interesse"),"abgeschlossen",IF(OR($K437="Neu",$K437="Recherchiert",$K437=""),"Erstkontakt vorbereiten",IF($K437="Kontaktiert",IF($L437="","Datum eintragen",IF(TODAY()&gt;=$O437,"Follow-up 3 fällig",IF(TODAY()&gt;=$N437,"Follow-up 2 fällig",IF(TODAY()&gt;=$M437,"Follow-up 1 fällig","warten")))),IF($K437="Antwort","Antworten",IF($K437="Gespräch","Nachbereiten",IF($K437="Angebot","Angebot nachfassen","")))))))</f>
        <v/>
      </c>
      <c r="Q437" s="17"/>
      <c r="R437" s="13"/>
    </row>
    <row r="438" customFormat="false" ht="15" hidden="false" customHeight="tru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  <c r="J438" s="13"/>
      <c r="K438" s="12"/>
      <c r="L438" s="14"/>
      <c r="M438" s="15" t="str">
        <f aca="false">IF($L438="","",$L438+Einstellungen!$B$3)</f>
        <v/>
      </c>
      <c r="N438" s="15" t="str">
        <f aca="false">IF($L438="","",$L438+Einstellungen!$B$4)</f>
        <v/>
      </c>
      <c r="O438" s="15" t="str">
        <f aca="false">IF($L438="","",$L438+Einstellungen!$B$5)</f>
        <v/>
      </c>
      <c r="P438" s="16" t="str">
        <f aca="true">IF($B438="","",IF(OR($K438="Gewonnen",$K438="Verloren",$K438="Kein Interesse"),"abgeschlossen",IF(OR($K438="Neu",$K438="Recherchiert",$K438=""),"Erstkontakt vorbereiten",IF($K438="Kontaktiert",IF($L438="","Datum eintragen",IF(TODAY()&gt;=$O438,"Follow-up 3 fällig",IF(TODAY()&gt;=$N438,"Follow-up 2 fällig",IF(TODAY()&gt;=$M438,"Follow-up 1 fällig","warten")))),IF($K438="Antwort","Antworten",IF($K438="Gespräch","Nachbereiten",IF($K438="Angebot","Angebot nachfassen","")))))))</f>
        <v/>
      </c>
      <c r="Q438" s="17"/>
      <c r="R438" s="13"/>
    </row>
    <row r="439" customFormat="false" ht="15" hidden="false" customHeight="tru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  <c r="J439" s="13"/>
      <c r="K439" s="12"/>
      <c r="L439" s="14"/>
      <c r="M439" s="15" t="str">
        <f aca="false">IF($L439="","",$L439+Einstellungen!$B$3)</f>
        <v/>
      </c>
      <c r="N439" s="15" t="str">
        <f aca="false">IF($L439="","",$L439+Einstellungen!$B$4)</f>
        <v/>
      </c>
      <c r="O439" s="15" t="str">
        <f aca="false">IF($L439="","",$L439+Einstellungen!$B$5)</f>
        <v/>
      </c>
      <c r="P439" s="16" t="str">
        <f aca="true">IF($B439="","",IF(OR($K439="Gewonnen",$K439="Verloren",$K439="Kein Interesse"),"abgeschlossen",IF(OR($K439="Neu",$K439="Recherchiert",$K439=""),"Erstkontakt vorbereiten",IF($K439="Kontaktiert",IF($L439="","Datum eintragen",IF(TODAY()&gt;=$O439,"Follow-up 3 fällig",IF(TODAY()&gt;=$N439,"Follow-up 2 fällig",IF(TODAY()&gt;=$M439,"Follow-up 1 fällig","warten")))),IF($K439="Antwort","Antworten",IF($K439="Gespräch","Nachbereiten",IF($K439="Angebot","Angebot nachfassen","")))))))</f>
        <v/>
      </c>
      <c r="Q439" s="17"/>
      <c r="R439" s="13"/>
    </row>
    <row r="440" customFormat="false" ht="15" hidden="false" customHeight="tru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  <c r="J440" s="13"/>
      <c r="K440" s="12"/>
      <c r="L440" s="14"/>
      <c r="M440" s="15" t="str">
        <f aca="false">IF($L440="","",$L440+Einstellungen!$B$3)</f>
        <v/>
      </c>
      <c r="N440" s="15" t="str">
        <f aca="false">IF($L440="","",$L440+Einstellungen!$B$4)</f>
        <v/>
      </c>
      <c r="O440" s="15" t="str">
        <f aca="false">IF($L440="","",$L440+Einstellungen!$B$5)</f>
        <v/>
      </c>
      <c r="P440" s="16" t="str">
        <f aca="true">IF($B440="","",IF(OR($K440="Gewonnen",$K440="Verloren",$K440="Kein Interesse"),"abgeschlossen",IF(OR($K440="Neu",$K440="Recherchiert",$K440=""),"Erstkontakt vorbereiten",IF($K440="Kontaktiert",IF($L440="","Datum eintragen",IF(TODAY()&gt;=$O440,"Follow-up 3 fällig",IF(TODAY()&gt;=$N440,"Follow-up 2 fällig",IF(TODAY()&gt;=$M440,"Follow-up 1 fällig","warten")))),IF($K440="Antwort","Antworten",IF($K440="Gespräch","Nachbereiten",IF($K440="Angebot","Angebot nachfassen","")))))))</f>
        <v/>
      </c>
      <c r="Q440" s="17"/>
      <c r="R440" s="13"/>
    </row>
    <row r="441" customFormat="false" ht="15" hidden="false" customHeight="tru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  <c r="J441" s="13"/>
      <c r="K441" s="12"/>
      <c r="L441" s="14"/>
      <c r="M441" s="15" t="str">
        <f aca="false">IF($L441="","",$L441+Einstellungen!$B$3)</f>
        <v/>
      </c>
      <c r="N441" s="15" t="str">
        <f aca="false">IF($L441="","",$L441+Einstellungen!$B$4)</f>
        <v/>
      </c>
      <c r="O441" s="15" t="str">
        <f aca="false">IF($L441="","",$L441+Einstellungen!$B$5)</f>
        <v/>
      </c>
      <c r="P441" s="16" t="str">
        <f aca="true">IF($B441="","",IF(OR($K441="Gewonnen",$K441="Verloren",$K441="Kein Interesse"),"abgeschlossen",IF(OR($K441="Neu",$K441="Recherchiert",$K441=""),"Erstkontakt vorbereiten",IF($K441="Kontaktiert",IF($L441="","Datum eintragen",IF(TODAY()&gt;=$O441,"Follow-up 3 fällig",IF(TODAY()&gt;=$N441,"Follow-up 2 fällig",IF(TODAY()&gt;=$M441,"Follow-up 1 fällig","warten")))),IF($K441="Antwort","Antworten",IF($K441="Gespräch","Nachbereiten",IF($K441="Angebot","Angebot nachfassen","")))))))</f>
        <v/>
      </c>
      <c r="Q441" s="17"/>
      <c r="R441" s="13"/>
    </row>
    <row r="442" customFormat="false" ht="15" hidden="false" customHeight="tru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  <c r="J442" s="13"/>
      <c r="K442" s="12"/>
      <c r="L442" s="14"/>
      <c r="M442" s="15" t="str">
        <f aca="false">IF($L442="","",$L442+Einstellungen!$B$3)</f>
        <v/>
      </c>
      <c r="N442" s="15" t="str">
        <f aca="false">IF($L442="","",$L442+Einstellungen!$B$4)</f>
        <v/>
      </c>
      <c r="O442" s="15" t="str">
        <f aca="false">IF($L442="","",$L442+Einstellungen!$B$5)</f>
        <v/>
      </c>
      <c r="P442" s="16" t="str">
        <f aca="true">IF($B442="","",IF(OR($K442="Gewonnen",$K442="Verloren",$K442="Kein Interesse"),"abgeschlossen",IF(OR($K442="Neu",$K442="Recherchiert",$K442=""),"Erstkontakt vorbereiten",IF($K442="Kontaktiert",IF($L442="","Datum eintragen",IF(TODAY()&gt;=$O442,"Follow-up 3 fällig",IF(TODAY()&gt;=$N442,"Follow-up 2 fällig",IF(TODAY()&gt;=$M442,"Follow-up 1 fällig","warten")))),IF($K442="Antwort","Antworten",IF($K442="Gespräch","Nachbereiten",IF($K442="Angebot","Angebot nachfassen","")))))))</f>
        <v/>
      </c>
      <c r="Q442" s="17"/>
      <c r="R442" s="13"/>
    </row>
    <row r="443" customFormat="false" ht="15" hidden="false" customHeight="tru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  <c r="J443" s="13"/>
      <c r="K443" s="12"/>
      <c r="L443" s="14"/>
      <c r="M443" s="15" t="str">
        <f aca="false">IF($L443="","",$L443+Einstellungen!$B$3)</f>
        <v/>
      </c>
      <c r="N443" s="15" t="str">
        <f aca="false">IF($L443="","",$L443+Einstellungen!$B$4)</f>
        <v/>
      </c>
      <c r="O443" s="15" t="str">
        <f aca="false">IF($L443="","",$L443+Einstellungen!$B$5)</f>
        <v/>
      </c>
      <c r="P443" s="16" t="str">
        <f aca="true">IF($B443="","",IF(OR($K443="Gewonnen",$K443="Verloren",$K443="Kein Interesse"),"abgeschlossen",IF(OR($K443="Neu",$K443="Recherchiert",$K443=""),"Erstkontakt vorbereiten",IF($K443="Kontaktiert",IF($L443="","Datum eintragen",IF(TODAY()&gt;=$O443,"Follow-up 3 fällig",IF(TODAY()&gt;=$N443,"Follow-up 2 fällig",IF(TODAY()&gt;=$M443,"Follow-up 1 fällig","warten")))),IF($K443="Antwort","Antworten",IF($K443="Gespräch","Nachbereiten",IF($K443="Angebot","Angebot nachfassen","")))))))</f>
        <v/>
      </c>
      <c r="Q443" s="17"/>
      <c r="R443" s="13"/>
    </row>
    <row r="444" customFormat="false" ht="15" hidden="false" customHeight="tru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  <c r="J444" s="13"/>
      <c r="K444" s="12"/>
      <c r="L444" s="14"/>
      <c r="M444" s="15" t="str">
        <f aca="false">IF($L444="","",$L444+Einstellungen!$B$3)</f>
        <v/>
      </c>
      <c r="N444" s="15" t="str">
        <f aca="false">IF($L444="","",$L444+Einstellungen!$B$4)</f>
        <v/>
      </c>
      <c r="O444" s="15" t="str">
        <f aca="false">IF($L444="","",$L444+Einstellungen!$B$5)</f>
        <v/>
      </c>
      <c r="P444" s="16" t="str">
        <f aca="true">IF($B444="","",IF(OR($K444="Gewonnen",$K444="Verloren",$K444="Kein Interesse"),"abgeschlossen",IF(OR($K444="Neu",$K444="Recherchiert",$K444=""),"Erstkontakt vorbereiten",IF($K444="Kontaktiert",IF($L444="","Datum eintragen",IF(TODAY()&gt;=$O444,"Follow-up 3 fällig",IF(TODAY()&gt;=$N444,"Follow-up 2 fällig",IF(TODAY()&gt;=$M444,"Follow-up 1 fällig","warten")))),IF($K444="Antwort","Antworten",IF($K444="Gespräch","Nachbereiten",IF($K444="Angebot","Angebot nachfassen","")))))))</f>
        <v/>
      </c>
      <c r="Q444" s="17"/>
      <c r="R444" s="13"/>
    </row>
    <row r="445" customFormat="false" ht="15" hidden="false" customHeight="tru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  <c r="J445" s="13"/>
      <c r="K445" s="12"/>
      <c r="L445" s="14"/>
      <c r="M445" s="15" t="str">
        <f aca="false">IF($L445="","",$L445+Einstellungen!$B$3)</f>
        <v/>
      </c>
      <c r="N445" s="15" t="str">
        <f aca="false">IF($L445="","",$L445+Einstellungen!$B$4)</f>
        <v/>
      </c>
      <c r="O445" s="15" t="str">
        <f aca="false">IF($L445="","",$L445+Einstellungen!$B$5)</f>
        <v/>
      </c>
      <c r="P445" s="16" t="str">
        <f aca="true">IF($B445="","",IF(OR($K445="Gewonnen",$K445="Verloren",$K445="Kein Interesse"),"abgeschlossen",IF(OR($K445="Neu",$K445="Recherchiert",$K445=""),"Erstkontakt vorbereiten",IF($K445="Kontaktiert",IF($L445="","Datum eintragen",IF(TODAY()&gt;=$O445,"Follow-up 3 fällig",IF(TODAY()&gt;=$N445,"Follow-up 2 fällig",IF(TODAY()&gt;=$M445,"Follow-up 1 fällig","warten")))),IF($K445="Antwort","Antworten",IF($K445="Gespräch","Nachbereiten",IF($K445="Angebot","Angebot nachfassen","")))))))</f>
        <v/>
      </c>
      <c r="Q445" s="17"/>
      <c r="R445" s="13"/>
    </row>
    <row r="446" customFormat="false" ht="15" hidden="false" customHeight="tru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  <c r="J446" s="13"/>
      <c r="K446" s="12"/>
      <c r="L446" s="14"/>
      <c r="M446" s="15" t="str">
        <f aca="false">IF($L446="","",$L446+Einstellungen!$B$3)</f>
        <v/>
      </c>
      <c r="N446" s="15" t="str">
        <f aca="false">IF($L446="","",$L446+Einstellungen!$B$4)</f>
        <v/>
      </c>
      <c r="O446" s="15" t="str">
        <f aca="false">IF($L446="","",$L446+Einstellungen!$B$5)</f>
        <v/>
      </c>
      <c r="P446" s="16" t="str">
        <f aca="true">IF($B446="","",IF(OR($K446="Gewonnen",$K446="Verloren",$K446="Kein Interesse"),"abgeschlossen",IF(OR($K446="Neu",$K446="Recherchiert",$K446=""),"Erstkontakt vorbereiten",IF($K446="Kontaktiert",IF($L446="","Datum eintragen",IF(TODAY()&gt;=$O446,"Follow-up 3 fällig",IF(TODAY()&gt;=$N446,"Follow-up 2 fällig",IF(TODAY()&gt;=$M446,"Follow-up 1 fällig","warten")))),IF($K446="Antwort","Antworten",IF($K446="Gespräch","Nachbereiten",IF($K446="Angebot","Angebot nachfassen","")))))))</f>
        <v/>
      </c>
      <c r="Q446" s="17"/>
      <c r="R446" s="13"/>
    </row>
    <row r="447" customFormat="false" ht="15" hidden="false" customHeight="tru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  <c r="J447" s="13"/>
      <c r="K447" s="12"/>
      <c r="L447" s="14"/>
      <c r="M447" s="15" t="str">
        <f aca="false">IF($L447="","",$L447+Einstellungen!$B$3)</f>
        <v/>
      </c>
      <c r="N447" s="15" t="str">
        <f aca="false">IF($L447="","",$L447+Einstellungen!$B$4)</f>
        <v/>
      </c>
      <c r="O447" s="15" t="str">
        <f aca="false">IF($L447="","",$L447+Einstellungen!$B$5)</f>
        <v/>
      </c>
      <c r="P447" s="16" t="str">
        <f aca="true">IF($B447="","",IF(OR($K447="Gewonnen",$K447="Verloren",$K447="Kein Interesse"),"abgeschlossen",IF(OR($K447="Neu",$K447="Recherchiert",$K447=""),"Erstkontakt vorbereiten",IF($K447="Kontaktiert",IF($L447="","Datum eintragen",IF(TODAY()&gt;=$O447,"Follow-up 3 fällig",IF(TODAY()&gt;=$N447,"Follow-up 2 fällig",IF(TODAY()&gt;=$M447,"Follow-up 1 fällig","warten")))),IF($K447="Antwort","Antworten",IF($K447="Gespräch","Nachbereiten",IF($K447="Angebot","Angebot nachfassen","")))))))</f>
        <v/>
      </c>
      <c r="Q447" s="17"/>
      <c r="R447" s="13"/>
    </row>
    <row r="448" customFormat="false" ht="15" hidden="false" customHeight="tru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  <c r="J448" s="13"/>
      <c r="K448" s="12"/>
      <c r="L448" s="14"/>
      <c r="M448" s="15" t="str">
        <f aca="false">IF($L448="","",$L448+Einstellungen!$B$3)</f>
        <v/>
      </c>
      <c r="N448" s="15" t="str">
        <f aca="false">IF($L448="","",$L448+Einstellungen!$B$4)</f>
        <v/>
      </c>
      <c r="O448" s="15" t="str">
        <f aca="false">IF($L448="","",$L448+Einstellungen!$B$5)</f>
        <v/>
      </c>
      <c r="P448" s="16" t="str">
        <f aca="true">IF($B448="","",IF(OR($K448="Gewonnen",$K448="Verloren",$K448="Kein Interesse"),"abgeschlossen",IF(OR($K448="Neu",$K448="Recherchiert",$K448=""),"Erstkontakt vorbereiten",IF($K448="Kontaktiert",IF($L448="","Datum eintragen",IF(TODAY()&gt;=$O448,"Follow-up 3 fällig",IF(TODAY()&gt;=$N448,"Follow-up 2 fällig",IF(TODAY()&gt;=$M448,"Follow-up 1 fällig","warten")))),IF($K448="Antwort","Antworten",IF($K448="Gespräch","Nachbereiten",IF($K448="Angebot","Angebot nachfassen","")))))))</f>
        <v/>
      </c>
      <c r="Q448" s="17"/>
      <c r="R448" s="13"/>
    </row>
    <row r="449" customFormat="false" ht="15" hidden="false" customHeight="tru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  <c r="J449" s="13"/>
      <c r="K449" s="12"/>
      <c r="L449" s="14"/>
      <c r="M449" s="15" t="str">
        <f aca="false">IF($L449="","",$L449+Einstellungen!$B$3)</f>
        <v/>
      </c>
      <c r="N449" s="15" t="str">
        <f aca="false">IF($L449="","",$L449+Einstellungen!$B$4)</f>
        <v/>
      </c>
      <c r="O449" s="15" t="str">
        <f aca="false">IF($L449="","",$L449+Einstellungen!$B$5)</f>
        <v/>
      </c>
      <c r="P449" s="16" t="str">
        <f aca="true">IF($B449="","",IF(OR($K449="Gewonnen",$K449="Verloren",$K449="Kein Interesse"),"abgeschlossen",IF(OR($K449="Neu",$K449="Recherchiert",$K449=""),"Erstkontakt vorbereiten",IF($K449="Kontaktiert",IF($L449="","Datum eintragen",IF(TODAY()&gt;=$O449,"Follow-up 3 fällig",IF(TODAY()&gt;=$N449,"Follow-up 2 fällig",IF(TODAY()&gt;=$M449,"Follow-up 1 fällig","warten")))),IF($K449="Antwort","Antworten",IF($K449="Gespräch","Nachbereiten",IF($K449="Angebot","Angebot nachfassen","")))))))</f>
        <v/>
      </c>
      <c r="Q449" s="17"/>
      <c r="R449" s="13"/>
    </row>
    <row r="450" customFormat="false" ht="15" hidden="false" customHeight="tru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  <c r="J450" s="13"/>
      <c r="K450" s="12"/>
      <c r="L450" s="14"/>
      <c r="M450" s="15" t="str">
        <f aca="false">IF($L450="","",$L450+Einstellungen!$B$3)</f>
        <v/>
      </c>
      <c r="N450" s="15" t="str">
        <f aca="false">IF($L450="","",$L450+Einstellungen!$B$4)</f>
        <v/>
      </c>
      <c r="O450" s="15" t="str">
        <f aca="false">IF($L450="","",$L450+Einstellungen!$B$5)</f>
        <v/>
      </c>
      <c r="P450" s="16" t="str">
        <f aca="true">IF($B450="","",IF(OR($K450="Gewonnen",$K450="Verloren",$K450="Kein Interesse"),"abgeschlossen",IF(OR($K450="Neu",$K450="Recherchiert",$K450=""),"Erstkontakt vorbereiten",IF($K450="Kontaktiert",IF($L450="","Datum eintragen",IF(TODAY()&gt;=$O450,"Follow-up 3 fällig",IF(TODAY()&gt;=$N450,"Follow-up 2 fällig",IF(TODAY()&gt;=$M450,"Follow-up 1 fällig","warten")))),IF($K450="Antwort","Antworten",IF($K450="Gespräch","Nachbereiten",IF($K450="Angebot","Angebot nachfassen","")))))))</f>
        <v/>
      </c>
      <c r="Q450" s="17"/>
      <c r="R450" s="13"/>
    </row>
    <row r="451" customFormat="false" ht="15" hidden="false" customHeight="tru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  <c r="J451" s="13"/>
      <c r="K451" s="12"/>
      <c r="L451" s="14"/>
      <c r="M451" s="15" t="str">
        <f aca="false">IF($L451="","",$L451+Einstellungen!$B$3)</f>
        <v/>
      </c>
      <c r="N451" s="15" t="str">
        <f aca="false">IF($L451="","",$L451+Einstellungen!$B$4)</f>
        <v/>
      </c>
      <c r="O451" s="15" t="str">
        <f aca="false">IF($L451="","",$L451+Einstellungen!$B$5)</f>
        <v/>
      </c>
      <c r="P451" s="16" t="str">
        <f aca="true">IF($B451="","",IF(OR($K451="Gewonnen",$K451="Verloren",$K451="Kein Interesse"),"abgeschlossen",IF(OR($K451="Neu",$K451="Recherchiert",$K451=""),"Erstkontakt vorbereiten",IF($K451="Kontaktiert",IF($L451="","Datum eintragen",IF(TODAY()&gt;=$O451,"Follow-up 3 fällig",IF(TODAY()&gt;=$N451,"Follow-up 2 fällig",IF(TODAY()&gt;=$M451,"Follow-up 1 fällig","warten")))),IF($K451="Antwort","Antworten",IF($K451="Gespräch","Nachbereiten",IF($K451="Angebot","Angebot nachfassen","")))))))</f>
        <v/>
      </c>
      <c r="Q451" s="17"/>
      <c r="R451" s="13"/>
    </row>
    <row r="452" customFormat="false" ht="15" hidden="false" customHeight="tru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  <c r="J452" s="13"/>
      <c r="K452" s="12"/>
      <c r="L452" s="14"/>
      <c r="M452" s="15" t="str">
        <f aca="false">IF($L452="","",$L452+Einstellungen!$B$3)</f>
        <v/>
      </c>
      <c r="N452" s="15" t="str">
        <f aca="false">IF($L452="","",$L452+Einstellungen!$B$4)</f>
        <v/>
      </c>
      <c r="O452" s="15" t="str">
        <f aca="false">IF($L452="","",$L452+Einstellungen!$B$5)</f>
        <v/>
      </c>
      <c r="P452" s="16" t="str">
        <f aca="true">IF($B452="","",IF(OR($K452="Gewonnen",$K452="Verloren",$K452="Kein Interesse"),"abgeschlossen",IF(OR($K452="Neu",$K452="Recherchiert",$K452=""),"Erstkontakt vorbereiten",IF($K452="Kontaktiert",IF($L452="","Datum eintragen",IF(TODAY()&gt;=$O452,"Follow-up 3 fällig",IF(TODAY()&gt;=$N452,"Follow-up 2 fällig",IF(TODAY()&gt;=$M452,"Follow-up 1 fällig","warten")))),IF($K452="Antwort","Antworten",IF($K452="Gespräch","Nachbereiten",IF($K452="Angebot","Angebot nachfassen","")))))))</f>
        <v/>
      </c>
      <c r="Q452" s="17"/>
      <c r="R452" s="13"/>
    </row>
    <row r="453" customFormat="false" ht="15" hidden="false" customHeight="tru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  <c r="J453" s="13"/>
      <c r="K453" s="12"/>
      <c r="L453" s="14"/>
      <c r="M453" s="15" t="str">
        <f aca="false">IF($L453="","",$L453+Einstellungen!$B$3)</f>
        <v/>
      </c>
      <c r="N453" s="15" t="str">
        <f aca="false">IF($L453="","",$L453+Einstellungen!$B$4)</f>
        <v/>
      </c>
      <c r="O453" s="15" t="str">
        <f aca="false">IF($L453="","",$L453+Einstellungen!$B$5)</f>
        <v/>
      </c>
      <c r="P453" s="16" t="str">
        <f aca="true">IF($B453="","",IF(OR($K453="Gewonnen",$K453="Verloren",$K453="Kein Interesse"),"abgeschlossen",IF(OR($K453="Neu",$K453="Recherchiert",$K453=""),"Erstkontakt vorbereiten",IF($K453="Kontaktiert",IF($L453="","Datum eintragen",IF(TODAY()&gt;=$O453,"Follow-up 3 fällig",IF(TODAY()&gt;=$N453,"Follow-up 2 fällig",IF(TODAY()&gt;=$M453,"Follow-up 1 fällig","warten")))),IF($K453="Antwort","Antworten",IF($K453="Gespräch","Nachbereiten",IF($K453="Angebot","Angebot nachfassen","")))))))</f>
        <v/>
      </c>
      <c r="Q453" s="17"/>
      <c r="R453" s="13"/>
    </row>
    <row r="454" customFormat="false" ht="15" hidden="false" customHeight="tru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  <c r="J454" s="13"/>
      <c r="K454" s="12"/>
      <c r="L454" s="14"/>
      <c r="M454" s="15" t="str">
        <f aca="false">IF($L454="","",$L454+Einstellungen!$B$3)</f>
        <v/>
      </c>
      <c r="N454" s="15" t="str">
        <f aca="false">IF($L454="","",$L454+Einstellungen!$B$4)</f>
        <v/>
      </c>
      <c r="O454" s="15" t="str">
        <f aca="false">IF($L454="","",$L454+Einstellungen!$B$5)</f>
        <v/>
      </c>
      <c r="P454" s="16" t="str">
        <f aca="true">IF($B454="","",IF(OR($K454="Gewonnen",$K454="Verloren",$K454="Kein Interesse"),"abgeschlossen",IF(OR($K454="Neu",$K454="Recherchiert",$K454=""),"Erstkontakt vorbereiten",IF($K454="Kontaktiert",IF($L454="","Datum eintragen",IF(TODAY()&gt;=$O454,"Follow-up 3 fällig",IF(TODAY()&gt;=$N454,"Follow-up 2 fällig",IF(TODAY()&gt;=$M454,"Follow-up 1 fällig","warten")))),IF($K454="Antwort","Antworten",IF($K454="Gespräch","Nachbereiten",IF($K454="Angebot","Angebot nachfassen","")))))))</f>
        <v/>
      </c>
      <c r="Q454" s="17"/>
      <c r="R454" s="13"/>
    </row>
    <row r="455" customFormat="false" ht="15" hidden="false" customHeight="tru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  <c r="J455" s="13"/>
      <c r="K455" s="12"/>
      <c r="L455" s="14"/>
      <c r="M455" s="15" t="str">
        <f aca="false">IF($L455="","",$L455+Einstellungen!$B$3)</f>
        <v/>
      </c>
      <c r="N455" s="15" t="str">
        <f aca="false">IF($L455="","",$L455+Einstellungen!$B$4)</f>
        <v/>
      </c>
      <c r="O455" s="15" t="str">
        <f aca="false">IF($L455="","",$L455+Einstellungen!$B$5)</f>
        <v/>
      </c>
      <c r="P455" s="16" t="str">
        <f aca="true">IF($B455="","",IF(OR($K455="Gewonnen",$K455="Verloren",$K455="Kein Interesse"),"abgeschlossen",IF(OR($K455="Neu",$K455="Recherchiert",$K455=""),"Erstkontakt vorbereiten",IF($K455="Kontaktiert",IF($L455="","Datum eintragen",IF(TODAY()&gt;=$O455,"Follow-up 3 fällig",IF(TODAY()&gt;=$N455,"Follow-up 2 fällig",IF(TODAY()&gt;=$M455,"Follow-up 1 fällig","warten")))),IF($K455="Antwort","Antworten",IF($K455="Gespräch","Nachbereiten",IF($K455="Angebot","Angebot nachfassen","")))))))</f>
        <v/>
      </c>
      <c r="Q455" s="17"/>
      <c r="R455" s="13"/>
    </row>
    <row r="456" customFormat="false" ht="15" hidden="false" customHeight="tru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  <c r="J456" s="13"/>
      <c r="K456" s="12"/>
      <c r="L456" s="14"/>
      <c r="M456" s="15" t="str">
        <f aca="false">IF($L456="","",$L456+Einstellungen!$B$3)</f>
        <v/>
      </c>
      <c r="N456" s="15" t="str">
        <f aca="false">IF($L456="","",$L456+Einstellungen!$B$4)</f>
        <v/>
      </c>
      <c r="O456" s="15" t="str">
        <f aca="false">IF($L456="","",$L456+Einstellungen!$B$5)</f>
        <v/>
      </c>
      <c r="P456" s="16" t="str">
        <f aca="true">IF($B456="","",IF(OR($K456="Gewonnen",$K456="Verloren",$K456="Kein Interesse"),"abgeschlossen",IF(OR($K456="Neu",$K456="Recherchiert",$K456=""),"Erstkontakt vorbereiten",IF($K456="Kontaktiert",IF($L456="","Datum eintragen",IF(TODAY()&gt;=$O456,"Follow-up 3 fällig",IF(TODAY()&gt;=$N456,"Follow-up 2 fällig",IF(TODAY()&gt;=$M456,"Follow-up 1 fällig","warten")))),IF($K456="Antwort","Antworten",IF($K456="Gespräch","Nachbereiten",IF($K456="Angebot","Angebot nachfassen","")))))))</f>
        <v/>
      </c>
      <c r="Q456" s="17"/>
      <c r="R456" s="13"/>
    </row>
    <row r="457" customFormat="false" ht="15" hidden="false" customHeight="tru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  <c r="J457" s="13"/>
      <c r="K457" s="12"/>
      <c r="L457" s="14"/>
      <c r="M457" s="15" t="str">
        <f aca="false">IF($L457="","",$L457+Einstellungen!$B$3)</f>
        <v/>
      </c>
      <c r="N457" s="15" t="str">
        <f aca="false">IF($L457="","",$L457+Einstellungen!$B$4)</f>
        <v/>
      </c>
      <c r="O457" s="15" t="str">
        <f aca="false">IF($L457="","",$L457+Einstellungen!$B$5)</f>
        <v/>
      </c>
      <c r="P457" s="16" t="str">
        <f aca="true">IF($B457="","",IF(OR($K457="Gewonnen",$K457="Verloren",$K457="Kein Interesse"),"abgeschlossen",IF(OR($K457="Neu",$K457="Recherchiert",$K457=""),"Erstkontakt vorbereiten",IF($K457="Kontaktiert",IF($L457="","Datum eintragen",IF(TODAY()&gt;=$O457,"Follow-up 3 fällig",IF(TODAY()&gt;=$N457,"Follow-up 2 fällig",IF(TODAY()&gt;=$M457,"Follow-up 1 fällig","warten")))),IF($K457="Antwort","Antworten",IF($K457="Gespräch","Nachbereiten",IF($K457="Angebot","Angebot nachfassen","")))))))</f>
        <v/>
      </c>
      <c r="Q457" s="17"/>
      <c r="R457" s="13"/>
    </row>
    <row r="458" customFormat="false" ht="15" hidden="false" customHeight="tru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  <c r="J458" s="13"/>
      <c r="K458" s="12"/>
      <c r="L458" s="14"/>
      <c r="M458" s="15" t="str">
        <f aca="false">IF($L458="","",$L458+Einstellungen!$B$3)</f>
        <v/>
      </c>
      <c r="N458" s="15" t="str">
        <f aca="false">IF($L458="","",$L458+Einstellungen!$B$4)</f>
        <v/>
      </c>
      <c r="O458" s="15" t="str">
        <f aca="false">IF($L458="","",$L458+Einstellungen!$B$5)</f>
        <v/>
      </c>
      <c r="P458" s="16" t="str">
        <f aca="true">IF($B458="","",IF(OR($K458="Gewonnen",$K458="Verloren",$K458="Kein Interesse"),"abgeschlossen",IF(OR($K458="Neu",$K458="Recherchiert",$K458=""),"Erstkontakt vorbereiten",IF($K458="Kontaktiert",IF($L458="","Datum eintragen",IF(TODAY()&gt;=$O458,"Follow-up 3 fällig",IF(TODAY()&gt;=$N458,"Follow-up 2 fällig",IF(TODAY()&gt;=$M458,"Follow-up 1 fällig","warten")))),IF($K458="Antwort","Antworten",IF($K458="Gespräch","Nachbereiten",IF($K458="Angebot","Angebot nachfassen","")))))))</f>
        <v/>
      </c>
      <c r="Q458" s="17"/>
      <c r="R458" s="13"/>
    </row>
    <row r="459" customFormat="false" ht="15" hidden="false" customHeight="tru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  <c r="J459" s="13"/>
      <c r="K459" s="12"/>
      <c r="L459" s="14"/>
      <c r="M459" s="15" t="str">
        <f aca="false">IF($L459="","",$L459+Einstellungen!$B$3)</f>
        <v/>
      </c>
      <c r="N459" s="15" t="str">
        <f aca="false">IF($L459="","",$L459+Einstellungen!$B$4)</f>
        <v/>
      </c>
      <c r="O459" s="15" t="str">
        <f aca="false">IF($L459="","",$L459+Einstellungen!$B$5)</f>
        <v/>
      </c>
      <c r="P459" s="16" t="str">
        <f aca="true">IF($B459="","",IF(OR($K459="Gewonnen",$K459="Verloren",$K459="Kein Interesse"),"abgeschlossen",IF(OR($K459="Neu",$K459="Recherchiert",$K459=""),"Erstkontakt vorbereiten",IF($K459="Kontaktiert",IF($L459="","Datum eintragen",IF(TODAY()&gt;=$O459,"Follow-up 3 fällig",IF(TODAY()&gt;=$N459,"Follow-up 2 fällig",IF(TODAY()&gt;=$M459,"Follow-up 1 fällig","warten")))),IF($K459="Antwort","Antworten",IF($K459="Gespräch","Nachbereiten",IF($K459="Angebot","Angebot nachfassen","")))))))</f>
        <v/>
      </c>
      <c r="Q459" s="17"/>
      <c r="R459" s="13"/>
    </row>
    <row r="460" customFormat="false" ht="15" hidden="false" customHeight="tru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  <c r="J460" s="13"/>
      <c r="K460" s="12"/>
      <c r="L460" s="14"/>
      <c r="M460" s="15" t="str">
        <f aca="false">IF($L460="","",$L460+Einstellungen!$B$3)</f>
        <v/>
      </c>
      <c r="N460" s="15" t="str">
        <f aca="false">IF($L460="","",$L460+Einstellungen!$B$4)</f>
        <v/>
      </c>
      <c r="O460" s="15" t="str">
        <f aca="false">IF($L460="","",$L460+Einstellungen!$B$5)</f>
        <v/>
      </c>
      <c r="P460" s="16" t="str">
        <f aca="true">IF($B460="","",IF(OR($K460="Gewonnen",$K460="Verloren",$K460="Kein Interesse"),"abgeschlossen",IF(OR($K460="Neu",$K460="Recherchiert",$K460=""),"Erstkontakt vorbereiten",IF($K460="Kontaktiert",IF($L460="","Datum eintragen",IF(TODAY()&gt;=$O460,"Follow-up 3 fällig",IF(TODAY()&gt;=$N460,"Follow-up 2 fällig",IF(TODAY()&gt;=$M460,"Follow-up 1 fällig","warten")))),IF($K460="Antwort","Antworten",IF($K460="Gespräch","Nachbereiten",IF($K460="Angebot","Angebot nachfassen","")))))))</f>
        <v/>
      </c>
      <c r="Q460" s="17"/>
      <c r="R460" s="13"/>
    </row>
    <row r="461" customFormat="false" ht="15" hidden="false" customHeight="tru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  <c r="J461" s="13"/>
      <c r="K461" s="12"/>
      <c r="L461" s="14"/>
      <c r="M461" s="15" t="str">
        <f aca="false">IF($L461="","",$L461+Einstellungen!$B$3)</f>
        <v/>
      </c>
      <c r="N461" s="15" t="str">
        <f aca="false">IF($L461="","",$L461+Einstellungen!$B$4)</f>
        <v/>
      </c>
      <c r="O461" s="15" t="str">
        <f aca="false">IF($L461="","",$L461+Einstellungen!$B$5)</f>
        <v/>
      </c>
      <c r="P461" s="16" t="str">
        <f aca="true">IF($B461="","",IF(OR($K461="Gewonnen",$K461="Verloren",$K461="Kein Interesse"),"abgeschlossen",IF(OR($K461="Neu",$K461="Recherchiert",$K461=""),"Erstkontakt vorbereiten",IF($K461="Kontaktiert",IF($L461="","Datum eintragen",IF(TODAY()&gt;=$O461,"Follow-up 3 fällig",IF(TODAY()&gt;=$N461,"Follow-up 2 fällig",IF(TODAY()&gt;=$M461,"Follow-up 1 fällig","warten")))),IF($K461="Antwort","Antworten",IF($K461="Gespräch","Nachbereiten",IF($K461="Angebot","Angebot nachfassen","")))))))</f>
        <v/>
      </c>
      <c r="Q461" s="17"/>
      <c r="R461" s="13"/>
    </row>
    <row r="462" customFormat="false" ht="15" hidden="false" customHeight="tru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  <c r="J462" s="13"/>
      <c r="K462" s="12"/>
      <c r="L462" s="14"/>
      <c r="M462" s="15" t="str">
        <f aca="false">IF($L462="","",$L462+Einstellungen!$B$3)</f>
        <v/>
      </c>
      <c r="N462" s="15" t="str">
        <f aca="false">IF($L462="","",$L462+Einstellungen!$B$4)</f>
        <v/>
      </c>
      <c r="O462" s="15" t="str">
        <f aca="false">IF($L462="","",$L462+Einstellungen!$B$5)</f>
        <v/>
      </c>
      <c r="P462" s="16" t="str">
        <f aca="true">IF($B462="","",IF(OR($K462="Gewonnen",$K462="Verloren",$K462="Kein Interesse"),"abgeschlossen",IF(OR($K462="Neu",$K462="Recherchiert",$K462=""),"Erstkontakt vorbereiten",IF($K462="Kontaktiert",IF($L462="","Datum eintragen",IF(TODAY()&gt;=$O462,"Follow-up 3 fällig",IF(TODAY()&gt;=$N462,"Follow-up 2 fällig",IF(TODAY()&gt;=$M462,"Follow-up 1 fällig","warten")))),IF($K462="Antwort","Antworten",IF($K462="Gespräch","Nachbereiten",IF($K462="Angebot","Angebot nachfassen","")))))))</f>
        <v/>
      </c>
      <c r="Q462" s="17"/>
      <c r="R462" s="13"/>
    </row>
    <row r="463" customFormat="false" ht="15" hidden="false" customHeight="tru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  <c r="J463" s="13"/>
      <c r="K463" s="12"/>
      <c r="L463" s="14"/>
      <c r="M463" s="15" t="str">
        <f aca="false">IF($L463="","",$L463+Einstellungen!$B$3)</f>
        <v/>
      </c>
      <c r="N463" s="15" t="str">
        <f aca="false">IF($L463="","",$L463+Einstellungen!$B$4)</f>
        <v/>
      </c>
      <c r="O463" s="15" t="str">
        <f aca="false">IF($L463="","",$L463+Einstellungen!$B$5)</f>
        <v/>
      </c>
      <c r="P463" s="16" t="str">
        <f aca="true">IF($B463="","",IF(OR($K463="Gewonnen",$K463="Verloren",$K463="Kein Interesse"),"abgeschlossen",IF(OR($K463="Neu",$K463="Recherchiert",$K463=""),"Erstkontakt vorbereiten",IF($K463="Kontaktiert",IF($L463="","Datum eintragen",IF(TODAY()&gt;=$O463,"Follow-up 3 fällig",IF(TODAY()&gt;=$N463,"Follow-up 2 fällig",IF(TODAY()&gt;=$M463,"Follow-up 1 fällig","warten")))),IF($K463="Antwort","Antworten",IF($K463="Gespräch","Nachbereiten",IF($K463="Angebot","Angebot nachfassen","")))))))</f>
        <v/>
      </c>
      <c r="Q463" s="17"/>
      <c r="R463" s="13"/>
    </row>
    <row r="464" customFormat="false" ht="15" hidden="false" customHeight="tru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  <c r="J464" s="13"/>
      <c r="K464" s="12"/>
      <c r="L464" s="14"/>
      <c r="M464" s="15" t="str">
        <f aca="false">IF($L464="","",$L464+Einstellungen!$B$3)</f>
        <v/>
      </c>
      <c r="N464" s="15" t="str">
        <f aca="false">IF($L464="","",$L464+Einstellungen!$B$4)</f>
        <v/>
      </c>
      <c r="O464" s="15" t="str">
        <f aca="false">IF($L464="","",$L464+Einstellungen!$B$5)</f>
        <v/>
      </c>
      <c r="P464" s="16" t="str">
        <f aca="true">IF($B464="","",IF(OR($K464="Gewonnen",$K464="Verloren",$K464="Kein Interesse"),"abgeschlossen",IF(OR($K464="Neu",$K464="Recherchiert",$K464=""),"Erstkontakt vorbereiten",IF($K464="Kontaktiert",IF($L464="","Datum eintragen",IF(TODAY()&gt;=$O464,"Follow-up 3 fällig",IF(TODAY()&gt;=$N464,"Follow-up 2 fällig",IF(TODAY()&gt;=$M464,"Follow-up 1 fällig","warten")))),IF($K464="Antwort","Antworten",IF($K464="Gespräch","Nachbereiten",IF($K464="Angebot","Angebot nachfassen","")))))))</f>
        <v/>
      </c>
      <c r="Q464" s="17"/>
      <c r="R464" s="13"/>
    </row>
    <row r="465" customFormat="false" ht="15" hidden="false" customHeight="tru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  <c r="J465" s="13"/>
      <c r="K465" s="12"/>
      <c r="L465" s="14"/>
      <c r="M465" s="15" t="str">
        <f aca="false">IF($L465="","",$L465+Einstellungen!$B$3)</f>
        <v/>
      </c>
      <c r="N465" s="15" t="str">
        <f aca="false">IF($L465="","",$L465+Einstellungen!$B$4)</f>
        <v/>
      </c>
      <c r="O465" s="15" t="str">
        <f aca="false">IF($L465="","",$L465+Einstellungen!$B$5)</f>
        <v/>
      </c>
      <c r="P465" s="16" t="str">
        <f aca="true">IF($B465="","",IF(OR($K465="Gewonnen",$K465="Verloren",$K465="Kein Interesse"),"abgeschlossen",IF(OR($K465="Neu",$K465="Recherchiert",$K465=""),"Erstkontakt vorbereiten",IF($K465="Kontaktiert",IF($L465="","Datum eintragen",IF(TODAY()&gt;=$O465,"Follow-up 3 fällig",IF(TODAY()&gt;=$N465,"Follow-up 2 fällig",IF(TODAY()&gt;=$M465,"Follow-up 1 fällig","warten")))),IF($K465="Antwort","Antworten",IF($K465="Gespräch","Nachbereiten",IF($K465="Angebot","Angebot nachfassen","")))))))</f>
        <v/>
      </c>
      <c r="Q465" s="17"/>
      <c r="R465" s="13"/>
    </row>
    <row r="466" customFormat="false" ht="15" hidden="false" customHeight="tru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  <c r="J466" s="13"/>
      <c r="K466" s="12"/>
      <c r="L466" s="14"/>
      <c r="M466" s="15" t="str">
        <f aca="false">IF($L466="","",$L466+Einstellungen!$B$3)</f>
        <v/>
      </c>
      <c r="N466" s="15" t="str">
        <f aca="false">IF($L466="","",$L466+Einstellungen!$B$4)</f>
        <v/>
      </c>
      <c r="O466" s="15" t="str">
        <f aca="false">IF($L466="","",$L466+Einstellungen!$B$5)</f>
        <v/>
      </c>
      <c r="P466" s="16" t="str">
        <f aca="true">IF($B466="","",IF(OR($K466="Gewonnen",$K466="Verloren",$K466="Kein Interesse"),"abgeschlossen",IF(OR($K466="Neu",$K466="Recherchiert",$K466=""),"Erstkontakt vorbereiten",IF($K466="Kontaktiert",IF($L466="","Datum eintragen",IF(TODAY()&gt;=$O466,"Follow-up 3 fällig",IF(TODAY()&gt;=$N466,"Follow-up 2 fällig",IF(TODAY()&gt;=$M466,"Follow-up 1 fällig","warten")))),IF($K466="Antwort","Antworten",IF($K466="Gespräch","Nachbereiten",IF($K466="Angebot","Angebot nachfassen","")))))))</f>
        <v/>
      </c>
      <c r="Q466" s="17"/>
      <c r="R466" s="13"/>
    </row>
    <row r="467" customFormat="false" ht="15" hidden="false" customHeight="tru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  <c r="J467" s="13"/>
      <c r="K467" s="12"/>
      <c r="L467" s="14"/>
      <c r="M467" s="15" t="str">
        <f aca="false">IF($L467="","",$L467+Einstellungen!$B$3)</f>
        <v/>
      </c>
      <c r="N467" s="15" t="str">
        <f aca="false">IF($L467="","",$L467+Einstellungen!$B$4)</f>
        <v/>
      </c>
      <c r="O467" s="15" t="str">
        <f aca="false">IF($L467="","",$L467+Einstellungen!$B$5)</f>
        <v/>
      </c>
      <c r="P467" s="16" t="str">
        <f aca="true">IF($B467="","",IF(OR($K467="Gewonnen",$K467="Verloren",$K467="Kein Interesse"),"abgeschlossen",IF(OR($K467="Neu",$K467="Recherchiert",$K467=""),"Erstkontakt vorbereiten",IF($K467="Kontaktiert",IF($L467="","Datum eintragen",IF(TODAY()&gt;=$O467,"Follow-up 3 fällig",IF(TODAY()&gt;=$N467,"Follow-up 2 fällig",IF(TODAY()&gt;=$M467,"Follow-up 1 fällig","warten")))),IF($K467="Antwort","Antworten",IF($K467="Gespräch","Nachbereiten",IF($K467="Angebot","Angebot nachfassen","")))))))</f>
        <v/>
      </c>
      <c r="Q467" s="17"/>
      <c r="R467" s="13"/>
    </row>
    <row r="468" customFormat="false" ht="15" hidden="false" customHeight="tru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  <c r="J468" s="13"/>
      <c r="K468" s="12"/>
      <c r="L468" s="14"/>
      <c r="M468" s="15" t="str">
        <f aca="false">IF($L468="","",$L468+Einstellungen!$B$3)</f>
        <v/>
      </c>
      <c r="N468" s="15" t="str">
        <f aca="false">IF($L468="","",$L468+Einstellungen!$B$4)</f>
        <v/>
      </c>
      <c r="O468" s="15" t="str">
        <f aca="false">IF($L468="","",$L468+Einstellungen!$B$5)</f>
        <v/>
      </c>
      <c r="P468" s="16" t="str">
        <f aca="true">IF($B468="","",IF(OR($K468="Gewonnen",$K468="Verloren",$K468="Kein Interesse"),"abgeschlossen",IF(OR($K468="Neu",$K468="Recherchiert",$K468=""),"Erstkontakt vorbereiten",IF($K468="Kontaktiert",IF($L468="","Datum eintragen",IF(TODAY()&gt;=$O468,"Follow-up 3 fällig",IF(TODAY()&gt;=$N468,"Follow-up 2 fällig",IF(TODAY()&gt;=$M468,"Follow-up 1 fällig","warten")))),IF($K468="Antwort","Antworten",IF($K468="Gespräch","Nachbereiten",IF($K468="Angebot","Angebot nachfassen","")))))))</f>
        <v/>
      </c>
      <c r="Q468" s="17"/>
      <c r="R468" s="13"/>
    </row>
    <row r="469" customFormat="false" ht="15" hidden="false" customHeight="tru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  <c r="J469" s="13"/>
      <c r="K469" s="12"/>
      <c r="L469" s="14"/>
      <c r="M469" s="15" t="str">
        <f aca="false">IF($L469="","",$L469+Einstellungen!$B$3)</f>
        <v/>
      </c>
      <c r="N469" s="15" t="str">
        <f aca="false">IF($L469="","",$L469+Einstellungen!$B$4)</f>
        <v/>
      </c>
      <c r="O469" s="15" t="str">
        <f aca="false">IF($L469="","",$L469+Einstellungen!$B$5)</f>
        <v/>
      </c>
      <c r="P469" s="16" t="str">
        <f aca="true">IF($B469="","",IF(OR($K469="Gewonnen",$K469="Verloren",$K469="Kein Interesse"),"abgeschlossen",IF(OR($K469="Neu",$K469="Recherchiert",$K469=""),"Erstkontakt vorbereiten",IF($K469="Kontaktiert",IF($L469="","Datum eintragen",IF(TODAY()&gt;=$O469,"Follow-up 3 fällig",IF(TODAY()&gt;=$N469,"Follow-up 2 fällig",IF(TODAY()&gt;=$M469,"Follow-up 1 fällig","warten")))),IF($K469="Antwort","Antworten",IF($K469="Gespräch","Nachbereiten",IF($K469="Angebot","Angebot nachfassen","")))))))</f>
        <v/>
      </c>
      <c r="Q469" s="17"/>
      <c r="R469" s="13"/>
    </row>
    <row r="470" customFormat="false" ht="15" hidden="false" customHeight="tru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  <c r="J470" s="13"/>
      <c r="K470" s="12"/>
      <c r="L470" s="14"/>
      <c r="M470" s="15" t="str">
        <f aca="false">IF($L470="","",$L470+Einstellungen!$B$3)</f>
        <v/>
      </c>
      <c r="N470" s="15" t="str">
        <f aca="false">IF($L470="","",$L470+Einstellungen!$B$4)</f>
        <v/>
      </c>
      <c r="O470" s="15" t="str">
        <f aca="false">IF($L470="","",$L470+Einstellungen!$B$5)</f>
        <v/>
      </c>
      <c r="P470" s="16" t="str">
        <f aca="true">IF($B470="","",IF(OR($K470="Gewonnen",$K470="Verloren",$K470="Kein Interesse"),"abgeschlossen",IF(OR($K470="Neu",$K470="Recherchiert",$K470=""),"Erstkontakt vorbereiten",IF($K470="Kontaktiert",IF($L470="","Datum eintragen",IF(TODAY()&gt;=$O470,"Follow-up 3 fällig",IF(TODAY()&gt;=$N470,"Follow-up 2 fällig",IF(TODAY()&gt;=$M470,"Follow-up 1 fällig","warten")))),IF($K470="Antwort","Antworten",IF($K470="Gespräch","Nachbereiten",IF($K470="Angebot","Angebot nachfassen","")))))))</f>
        <v/>
      </c>
      <c r="Q470" s="17"/>
      <c r="R470" s="13"/>
    </row>
    <row r="471" customFormat="false" ht="15" hidden="false" customHeight="tru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  <c r="J471" s="13"/>
      <c r="K471" s="12"/>
      <c r="L471" s="14"/>
      <c r="M471" s="15" t="str">
        <f aca="false">IF($L471="","",$L471+Einstellungen!$B$3)</f>
        <v/>
      </c>
      <c r="N471" s="15" t="str">
        <f aca="false">IF($L471="","",$L471+Einstellungen!$B$4)</f>
        <v/>
      </c>
      <c r="O471" s="15" t="str">
        <f aca="false">IF($L471="","",$L471+Einstellungen!$B$5)</f>
        <v/>
      </c>
      <c r="P471" s="16" t="str">
        <f aca="true">IF($B471="","",IF(OR($K471="Gewonnen",$K471="Verloren",$K471="Kein Interesse"),"abgeschlossen",IF(OR($K471="Neu",$K471="Recherchiert",$K471=""),"Erstkontakt vorbereiten",IF($K471="Kontaktiert",IF($L471="","Datum eintragen",IF(TODAY()&gt;=$O471,"Follow-up 3 fällig",IF(TODAY()&gt;=$N471,"Follow-up 2 fällig",IF(TODAY()&gt;=$M471,"Follow-up 1 fällig","warten")))),IF($K471="Antwort","Antworten",IF($K471="Gespräch","Nachbereiten",IF($K471="Angebot","Angebot nachfassen","")))))))</f>
        <v/>
      </c>
      <c r="Q471" s="17"/>
      <c r="R471" s="13"/>
    </row>
    <row r="472" customFormat="false" ht="15" hidden="false" customHeight="tru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  <c r="J472" s="13"/>
      <c r="K472" s="12"/>
      <c r="L472" s="14"/>
      <c r="M472" s="15" t="str">
        <f aca="false">IF($L472="","",$L472+Einstellungen!$B$3)</f>
        <v/>
      </c>
      <c r="N472" s="15" t="str">
        <f aca="false">IF($L472="","",$L472+Einstellungen!$B$4)</f>
        <v/>
      </c>
      <c r="O472" s="15" t="str">
        <f aca="false">IF($L472="","",$L472+Einstellungen!$B$5)</f>
        <v/>
      </c>
      <c r="P472" s="16" t="str">
        <f aca="true">IF($B472="","",IF(OR($K472="Gewonnen",$K472="Verloren",$K472="Kein Interesse"),"abgeschlossen",IF(OR($K472="Neu",$K472="Recherchiert",$K472=""),"Erstkontakt vorbereiten",IF($K472="Kontaktiert",IF($L472="","Datum eintragen",IF(TODAY()&gt;=$O472,"Follow-up 3 fällig",IF(TODAY()&gt;=$N472,"Follow-up 2 fällig",IF(TODAY()&gt;=$M472,"Follow-up 1 fällig","warten")))),IF($K472="Antwort","Antworten",IF($K472="Gespräch","Nachbereiten",IF($K472="Angebot","Angebot nachfassen","")))))))</f>
        <v/>
      </c>
      <c r="Q472" s="17"/>
      <c r="R472" s="13"/>
    </row>
    <row r="473" customFormat="false" ht="15" hidden="false" customHeight="tru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  <c r="J473" s="13"/>
      <c r="K473" s="12"/>
      <c r="L473" s="14"/>
      <c r="M473" s="15" t="str">
        <f aca="false">IF($L473="","",$L473+Einstellungen!$B$3)</f>
        <v/>
      </c>
      <c r="N473" s="15" t="str">
        <f aca="false">IF($L473="","",$L473+Einstellungen!$B$4)</f>
        <v/>
      </c>
      <c r="O473" s="15" t="str">
        <f aca="false">IF($L473="","",$L473+Einstellungen!$B$5)</f>
        <v/>
      </c>
      <c r="P473" s="16" t="str">
        <f aca="true">IF($B473="","",IF(OR($K473="Gewonnen",$K473="Verloren",$K473="Kein Interesse"),"abgeschlossen",IF(OR($K473="Neu",$K473="Recherchiert",$K473=""),"Erstkontakt vorbereiten",IF($K473="Kontaktiert",IF($L473="","Datum eintragen",IF(TODAY()&gt;=$O473,"Follow-up 3 fällig",IF(TODAY()&gt;=$N473,"Follow-up 2 fällig",IF(TODAY()&gt;=$M473,"Follow-up 1 fällig","warten")))),IF($K473="Antwort","Antworten",IF($K473="Gespräch","Nachbereiten",IF($K473="Angebot","Angebot nachfassen","")))))))</f>
        <v/>
      </c>
      <c r="Q473" s="17"/>
      <c r="R473" s="13"/>
    </row>
    <row r="474" customFormat="false" ht="15" hidden="false" customHeight="tru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  <c r="J474" s="13"/>
      <c r="K474" s="12"/>
      <c r="L474" s="14"/>
      <c r="M474" s="15" t="str">
        <f aca="false">IF($L474="","",$L474+Einstellungen!$B$3)</f>
        <v/>
      </c>
      <c r="N474" s="15" t="str">
        <f aca="false">IF($L474="","",$L474+Einstellungen!$B$4)</f>
        <v/>
      </c>
      <c r="O474" s="15" t="str">
        <f aca="false">IF($L474="","",$L474+Einstellungen!$B$5)</f>
        <v/>
      </c>
      <c r="P474" s="16" t="str">
        <f aca="true">IF($B474="","",IF(OR($K474="Gewonnen",$K474="Verloren",$K474="Kein Interesse"),"abgeschlossen",IF(OR($K474="Neu",$K474="Recherchiert",$K474=""),"Erstkontakt vorbereiten",IF($K474="Kontaktiert",IF($L474="","Datum eintragen",IF(TODAY()&gt;=$O474,"Follow-up 3 fällig",IF(TODAY()&gt;=$N474,"Follow-up 2 fällig",IF(TODAY()&gt;=$M474,"Follow-up 1 fällig","warten")))),IF($K474="Antwort","Antworten",IF($K474="Gespräch","Nachbereiten",IF($K474="Angebot","Angebot nachfassen","")))))))</f>
        <v/>
      </c>
      <c r="Q474" s="17"/>
      <c r="R474" s="13"/>
    </row>
    <row r="475" customFormat="false" ht="15" hidden="false" customHeight="tru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  <c r="J475" s="13"/>
      <c r="K475" s="12"/>
      <c r="L475" s="14"/>
      <c r="M475" s="15" t="str">
        <f aca="false">IF($L475="","",$L475+Einstellungen!$B$3)</f>
        <v/>
      </c>
      <c r="N475" s="15" t="str">
        <f aca="false">IF($L475="","",$L475+Einstellungen!$B$4)</f>
        <v/>
      </c>
      <c r="O475" s="15" t="str">
        <f aca="false">IF($L475="","",$L475+Einstellungen!$B$5)</f>
        <v/>
      </c>
      <c r="P475" s="16" t="str">
        <f aca="true">IF($B475="","",IF(OR($K475="Gewonnen",$K475="Verloren",$K475="Kein Interesse"),"abgeschlossen",IF(OR($K475="Neu",$K475="Recherchiert",$K475=""),"Erstkontakt vorbereiten",IF($K475="Kontaktiert",IF($L475="","Datum eintragen",IF(TODAY()&gt;=$O475,"Follow-up 3 fällig",IF(TODAY()&gt;=$N475,"Follow-up 2 fällig",IF(TODAY()&gt;=$M475,"Follow-up 1 fällig","warten")))),IF($K475="Antwort","Antworten",IF($K475="Gespräch","Nachbereiten",IF($K475="Angebot","Angebot nachfassen","")))))))</f>
        <v/>
      </c>
      <c r="Q475" s="17"/>
      <c r="R475" s="13"/>
    </row>
    <row r="476" customFormat="false" ht="15" hidden="false" customHeight="tru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  <c r="J476" s="13"/>
      <c r="K476" s="12"/>
      <c r="L476" s="14"/>
      <c r="M476" s="15" t="str">
        <f aca="false">IF($L476="","",$L476+Einstellungen!$B$3)</f>
        <v/>
      </c>
      <c r="N476" s="15" t="str">
        <f aca="false">IF($L476="","",$L476+Einstellungen!$B$4)</f>
        <v/>
      </c>
      <c r="O476" s="15" t="str">
        <f aca="false">IF($L476="","",$L476+Einstellungen!$B$5)</f>
        <v/>
      </c>
      <c r="P476" s="16" t="str">
        <f aca="true">IF($B476="","",IF(OR($K476="Gewonnen",$K476="Verloren",$K476="Kein Interesse"),"abgeschlossen",IF(OR($K476="Neu",$K476="Recherchiert",$K476=""),"Erstkontakt vorbereiten",IF($K476="Kontaktiert",IF($L476="","Datum eintragen",IF(TODAY()&gt;=$O476,"Follow-up 3 fällig",IF(TODAY()&gt;=$N476,"Follow-up 2 fällig",IF(TODAY()&gt;=$M476,"Follow-up 1 fällig","warten")))),IF($K476="Antwort","Antworten",IF($K476="Gespräch","Nachbereiten",IF($K476="Angebot","Angebot nachfassen","")))))))</f>
        <v/>
      </c>
      <c r="Q476" s="17"/>
      <c r="R476" s="13"/>
    </row>
    <row r="477" customFormat="false" ht="15" hidden="false" customHeight="tru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  <c r="J477" s="13"/>
      <c r="K477" s="12"/>
      <c r="L477" s="14"/>
      <c r="M477" s="15" t="str">
        <f aca="false">IF($L477="","",$L477+Einstellungen!$B$3)</f>
        <v/>
      </c>
      <c r="N477" s="15" t="str">
        <f aca="false">IF($L477="","",$L477+Einstellungen!$B$4)</f>
        <v/>
      </c>
      <c r="O477" s="15" t="str">
        <f aca="false">IF($L477="","",$L477+Einstellungen!$B$5)</f>
        <v/>
      </c>
      <c r="P477" s="16" t="str">
        <f aca="true">IF($B477="","",IF(OR($K477="Gewonnen",$K477="Verloren",$K477="Kein Interesse"),"abgeschlossen",IF(OR($K477="Neu",$K477="Recherchiert",$K477=""),"Erstkontakt vorbereiten",IF($K477="Kontaktiert",IF($L477="","Datum eintragen",IF(TODAY()&gt;=$O477,"Follow-up 3 fällig",IF(TODAY()&gt;=$N477,"Follow-up 2 fällig",IF(TODAY()&gt;=$M477,"Follow-up 1 fällig","warten")))),IF($K477="Antwort","Antworten",IF($K477="Gespräch","Nachbereiten",IF($K477="Angebot","Angebot nachfassen","")))))))</f>
        <v/>
      </c>
      <c r="Q477" s="17"/>
      <c r="R477" s="13"/>
    </row>
    <row r="478" customFormat="false" ht="15" hidden="false" customHeight="tru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  <c r="J478" s="13"/>
      <c r="K478" s="12"/>
      <c r="L478" s="14"/>
      <c r="M478" s="15" t="str">
        <f aca="false">IF($L478="","",$L478+Einstellungen!$B$3)</f>
        <v/>
      </c>
      <c r="N478" s="15" t="str">
        <f aca="false">IF($L478="","",$L478+Einstellungen!$B$4)</f>
        <v/>
      </c>
      <c r="O478" s="15" t="str">
        <f aca="false">IF($L478="","",$L478+Einstellungen!$B$5)</f>
        <v/>
      </c>
      <c r="P478" s="16" t="str">
        <f aca="true">IF($B478="","",IF(OR($K478="Gewonnen",$K478="Verloren",$K478="Kein Interesse"),"abgeschlossen",IF(OR($K478="Neu",$K478="Recherchiert",$K478=""),"Erstkontakt vorbereiten",IF($K478="Kontaktiert",IF($L478="","Datum eintragen",IF(TODAY()&gt;=$O478,"Follow-up 3 fällig",IF(TODAY()&gt;=$N478,"Follow-up 2 fällig",IF(TODAY()&gt;=$M478,"Follow-up 1 fällig","warten")))),IF($K478="Antwort","Antworten",IF($K478="Gespräch","Nachbereiten",IF($K478="Angebot","Angebot nachfassen","")))))))</f>
        <v/>
      </c>
      <c r="Q478" s="17"/>
      <c r="R478" s="13"/>
    </row>
    <row r="479" customFormat="false" ht="15" hidden="false" customHeight="tru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  <c r="J479" s="13"/>
      <c r="K479" s="12"/>
      <c r="L479" s="14"/>
      <c r="M479" s="15" t="str">
        <f aca="false">IF($L479="","",$L479+Einstellungen!$B$3)</f>
        <v/>
      </c>
      <c r="N479" s="15" t="str">
        <f aca="false">IF($L479="","",$L479+Einstellungen!$B$4)</f>
        <v/>
      </c>
      <c r="O479" s="15" t="str">
        <f aca="false">IF($L479="","",$L479+Einstellungen!$B$5)</f>
        <v/>
      </c>
      <c r="P479" s="16" t="str">
        <f aca="true">IF($B479="","",IF(OR($K479="Gewonnen",$K479="Verloren",$K479="Kein Interesse"),"abgeschlossen",IF(OR($K479="Neu",$K479="Recherchiert",$K479=""),"Erstkontakt vorbereiten",IF($K479="Kontaktiert",IF($L479="","Datum eintragen",IF(TODAY()&gt;=$O479,"Follow-up 3 fällig",IF(TODAY()&gt;=$N479,"Follow-up 2 fällig",IF(TODAY()&gt;=$M479,"Follow-up 1 fällig","warten")))),IF($K479="Antwort","Antworten",IF($K479="Gespräch","Nachbereiten",IF($K479="Angebot","Angebot nachfassen","")))))))</f>
        <v/>
      </c>
      <c r="Q479" s="17"/>
      <c r="R479" s="13"/>
    </row>
    <row r="480" customFormat="false" ht="15" hidden="false" customHeight="tru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  <c r="J480" s="13"/>
      <c r="K480" s="12"/>
      <c r="L480" s="14"/>
      <c r="M480" s="15" t="str">
        <f aca="false">IF($L480="","",$L480+Einstellungen!$B$3)</f>
        <v/>
      </c>
      <c r="N480" s="15" t="str">
        <f aca="false">IF($L480="","",$L480+Einstellungen!$B$4)</f>
        <v/>
      </c>
      <c r="O480" s="15" t="str">
        <f aca="false">IF($L480="","",$L480+Einstellungen!$B$5)</f>
        <v/>
      </c>
      <c r="P480" s="16" t="str">
        <f aca="true">IF($B480="","",IF(OR($K480="Gewonnen",$K480="Verloren",$K480="Kein Interesse"),"abgeschlossen",IF(OR($K480="Neu",$K480="Recherchiert",$K480=""),"Erstkontakt vorbereiten",IF($K480="Kontaktiert",IF($L480="","Datum eintragen",IF(TODAY()&gt;=$O480,"Follow-up 3 fällig",IF(TODAY()&gt;=$N480,"Follow-up 2 fällig",IF(TODAY()&gt;=$M480,"Follow-up 1 fällig","warten")))),IF($K480="Antwort","Antworten",IF($K480="Gespräch","Nachbereiten",IF($K480="Angebot","Angebot nachfassen","")))))))</f>
        <v/>
      </c>
      <c r="Q480" s="17"/>
      <c r="R480" s="13"/>
    </row>
    <row r="481" customFormat="false" ht="15" hidden="false" customHeight="tru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  <c r="J481" s="13"/>
      <c r="K481" s="12"/>
      <c r="L481" s="14"/>
      <c r="M481" s="15" t="str">
        <f aca="false">IF($L481="","",$L481+Einstellungen!$B$3)</f>
        <v/>
      </c>
      <c r="N481" s="15" t="str">
        <f aca="false">IF($L481="","",$L481+Einstellungen!$B$4)</f>
        <v/>
      </c>
      <c r="O481" s="15" t="str">
        <f aca="false">IF($L481="","",$L481+Einstellungen!$B$5)</f>
        <v/>
      </c>
      <c r="P481" s="16" t="str">
        <f aca="true">IF($B481="","",IF(OR($K481="Gewonnen",$K481="Verloren",$K481="Kein Interesse"),"abgeschlossen",IF(OR($K481="Neu",$K481="Recherchiert",$K481=""),"Erstkontakt vorbereiten",IF($K481="Kontaktiert",IF($L481="","Datum eintragen",IF(TODAY()&gt;=$O481,"Follow-up 3 fällig",IF(TODAY()&gt;=$N481,"Follow-up 2 fällig",IF(TODAY()&gt;=$M481,"Follow-up 1 fällig","warten")))),IF($K481="Antwort","Antworten",IF($K481="Gespräch","Nachbereiten",IF($K481="Angebot","Angebot nachfassen","")))))))</f>
        <v/>
      </c>
      <c r="Q481" s="17"/>
      <c r="R481" s="13"/>
    </row>
    <row r="482" customFormat="false" ht="15" hidden="false" customHeight="tru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  <c r="J482" s="13"/>
      <c r="K482" s="12"/>
      <c r="L482" s="14"/>
      <c r="M482" s="15" t="str">
        <f aca="false">IF($L482="","",$L482+Einstellungen!$B$3)</f>
        <v/>
      </c>
      <c r="N482" s="15" t="str">
        <f aca="false">IF($L482="","",$L482+Einstellungen!$B$4)</f>
        <v/>
      </c>
      <c r="O482" s="15" t="str">
        <f aca="false">IF($L482="","",$L482+Einstellungen!$B$5)</f>
        <v/>
      </c>
      <c r="P482" s="16" t="str">
        <f aca="true">IF($B482="","",IF(OR($K482="Gewonnen",$K482="Verloren",$K482="Kein Interesse"),"abgeschlossen",IF(OR($K482="Neu",$K482="Recherchiert",$K482=""),"Erstkontakt vorbereiten",IF($K482="Kontaktiert",IF($L482="","Datum eintragen",IF(TODAY()&gt;=$O482,"Follow-up 3 fällig",IF(TODAY()&gt;=$N482,"Follow-up 2 fällig",IF(TODAY()&gt;=$M482,"Follow-up 1 fällig","warten")))),IF($K482="Antwort","Antworten",IF($K482="Gespräch","Nachbereiten",IF($K482="Angebot","Angebot nachfassen","")))))))</f>
        <v/>
      </c>
      <c r="Q482" s="17"/>
      <c r="R482" s="13"/>
    </row>
    <row r="483" customFormat="false" ht="15" hidden="false" customHeight="tru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  <c r="J483" s="13"/>
      <c r="K483" s="12"/>
      <c r="L483" s="14"/>
      <c r="M483" s="15" t="str">
        <f aca="false">IF($L483="","",$L483+Einstellungen!$B$3)</f>
        <v/>
      </c>
      <c r="N483" s="15" t="str">
        <f aca="false">IF($L483="","",$L483+Einstellungen!$B$4)</f>
        <v/>
      </c>
      <c r="O483" s="15" t="str">
        <f aca="false">IF($L483="","",$L483+Einstellungen!$B$5)</f>
        <v/>
      </c>
      <c r="P483" s="16" t="str">
        <f aca="true">IF($B483="","",IF(OR($K483="Gewonnen",$K483="Verloren",$K483="Kein Interesse"),"abgeschlossen",IF(OR($K483="Neu",$K483="Recherchiert",$K483=""),"Erstkontakt vorbereiten",IF($K483="Kontaktiert",IF($L483="","Datum eintragen",IF(TODAY()&gt;=$O483,"Follow-up 3 fällig",IF(TODAY()&gt;=$N483,"Follow-up 2 fällig",IF(TODAY()&gt;=$M483,"Follow-up 1 fällig","warten")))),IF($K483="Antwort","Antworten",IF($K483="Gespräch","Nachbereiten",IF($K483="Angebot","Angebot nachfassen","")))))))</f>
        <v/>
      </c>
      <c r="Q483" s="17"/>
      <c r="R483" s="13"/>
    </row>
    <row r="484" customFormat="false" ht="15" hidden="false" customHeight="tru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  <c r="J484" s="13"/>
      <c r="K484" s="12"/>
      <c r="L484" s="14"/>
      <c r="M484" s="15" t="str">
        <f aca="false">IF($L484="","",$L484+Einstellungen!$B$3)</f>
        <v/>
      </c>
      <c r="N484" s="15" t="str">
        <f aca="false">IF($L484="","",$L484+Einstellungen!$B$4)</f>
        <v/>
      </c>
      <c r="O484" s="15" t="str">
        <f aca="false">IF($L484="","",$L484+Einstellungen!$B$5)</f>
        <v/>
      </c>
      <c r="P484" s="16" t="str">
        <f aca="true">IF($B484="","",IF(OR($K484="Gewonnen",$K484="Verloren",$K484="Kein Interesse"),"abgeschlossen",IF(OR($K484="Neu",$K484="Recherchiert",$K484=""),"Erstkontakt vorbereiten",IF($K484="Kontaktiert",IF($L484="","Datum eintragen",IF(TODAY()&gt;=$O484,"Follow-up 3 fällig",IF(TODAY()&gt;=$N484,"Follow-up 2 fällig",IF(TODAY()&gt;=$M484,"Follow-up 1 fällig","warten")))),IF($K484="Antwort","Antworten",IF($K484="Gespräch","Nachbereiten",IF($K484="Angebot","Angebot nachfassen","")))))))</f>
        <v/>
      </c>
      <c r="Q484" s="17"/>
      <c r="R484" s="13"/>
    </row>
    <row r="485" customFormat="false" ht="15" hidden="false" customHeight="tru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  <c r="J485" s="13"/>
      <c r="K485" s="12"/>
      <c r="L485" s="14"/>
      <c r="M485" s="15" t="str">
        <f aca="false">IF($L485="","",$L485+Einstellungen!$B$3)</f>
        <v/>
      </c>
      <c r="N485" s="15" t="str">
        <f aca="false">IF($L485="","",$L485+Einstellungen!$B$4)</f>
        <v/>
      </c>
      <c r="O485" s="15" t="str">
        <f aca="false">IF($L485="","",$L485+Einstellungen!$B$5)</f>
        <v/>
      </c>
      <c r="P485" s="16" t="str">
        <f aca="true">IF($B485="","",IF(OR($K485="Gewonnen",$K485="Verloren",$K485="Kein Interesse"),"abgeschlossen",IF(OR($K485="Neu",$K485="Recherchiert",$K485=""),"Erstkontakt vorbereiten",IF($K485="Kontaktiert",IF($L485="","Datum eintragen",IF(TODAY()&gt;=$O485,"Follow-up 3 fällig",IF(TODAY()&gt;=$N485,"Follow-up 2 fällig",IF(TODAY()&gt;=$M485,"Follow-up 1 fällig","warten")))),IF($K485="Antwort","Antworten",IF($K485="Gespräch","Nachbereiten",IF($K485="Angebot","Angebot nachfassen","")))))))</f>
        <v/>
      </c>
      <c r="Q485" s="17"/>
      <c r="R485" s="13"/>
    </row>
    <row r="486" customFormat="false" ht="15" hidden="false" customHeight="tru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  <c r="J486" s="13"/>
      <c r="K486" s="12"/>
      <c r="L486" s="14"/>
      <c r="M486" s="15" t="str">
        <f aca="false">IF($L486="","",$L486+Einstellungen!$B$3)</f>
        <v/>
      </c>
      <c r="N486" s="15" t="str">
        <f aca="false">IF($L486="","",$L486+Einstellungen!$B$4)</f>
        <v/>
      </c>
      <c r="O486" s="15" t="str">
        <f aca="false">IF($L486="","",$L486+Einstellungen!$B$5)</f>
        <v/>
      </c>
      <c r="P486" s="16" t="str">
        <f aca="true">IF($B486="","",IF(OR($K486="Gewonnen",$K486="Verloren",$K486="Kein Interesse"),"abgeschlossen",IF(OR($K486="Neu",$K486="Recherchiert",$K486=""),"Erstkontakt vorbereiten",IF($K486="Kontaktiert",IF($L486="","Datum eintragen",IF(TODAY()&gt;=$O486,"Follow-up 3 fällig",IF(TODAY()&gt;=$N486,"Follow-up 2 fällig",IF(TODAY()&gt;=$M486,"Follow-up 1 fällig","warten")))),IF($K486="Antwort","Antworten",IF($K486="Gespräch","Nachbereiten",IF($K486="Angebot","Angebot nachfassen","")))))))</f>
        <v/>
      </c>
      <c r="Q486" s="17"/>
      <c r="R486" s="13"/>
    </row>
    <row r="487" customFormat="false" ht="15" hidden="false" customHeight="tru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  <c r="J487" s="13"/>
      <c r="K487" s="12"/>
      <c r="L487" s="14"/>
      <c r="M487" s="15" t="str">
        <f aca="false">IF($L487="","",$L487+Einstellungen!$B$3)</f>
        <v/>
      </c>
      <c r="N487" s="15" t="str">
        <f aca="false">IF($L487="","",$L487+Einstellungen!$B$4)</f>
        <v/>
      </c>
      <c r="O487" s="15" t="str">
        <f aca="false">IF($L487="","",$L487+Einstellungen!$B$5)</f>
        <v/>
      </c>
      <c r="P487" s="16" t="str">
        <f aca="true">IF($B487="","",IF(OR($K487="Gewonnen",$K487="Verloren",$K487="Kein Interesse"),"abgeschlossen",IF(OR($K487="Neu",$K487="Recherchiert",$K487=""),"Erstkontakt vorbereiten",IF($K487="Kontaktiert",IF($L487="","Datum eintragen",IF(TODAY()&gt;=$O487,"Follow-up 3 fällig",IF(TODAY()&gt;=$N487,"Follow-up 2 fällig",IF(TODAY()&gt;=$M487,"Follow-up 1 fällig","warten")))),IF($K487="Antwort","Antworten",IF($K487="Gespräch","Nachbereiten",IF($K487="Angebot","Angebot nachfassen","")))))))</f>
        <v/>
      </c>
      <c r="Q487" s="17"/>
      <c r="R487" s="13"/>
    </row>
    <row r="488" customFormat="false" ht="15" hidden="false" customHeight="tru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  <c r="J488" s="13"/>
      <c r="K488" s="12"/>
      <c r="L488" s="14"/>
      <c r="M488" s="15" t="str">
        <f aca="false">IF($L488="","",$L488+Einstellungen!$B$3)</f>
        <v/>
      </c>
      <c r="N488" s="15" t="str">
        <f aca="false">IF($L488="","",$L488+Einstellungen!$B$4)</f>
        <v/>
      </c>
      <c r="O488" s="15" t="str">
        <f aca="false">IF($L488="","",$L488+Einstellungen!$B$5)</f>
        <v/>
      </c>
      <c r="P488" s="16" t="str">
        <f aca="true">IF($B488="","",IF(OR($K488="Gewonnen",$K488="Verloren",$K488="Kein Interesse"),"abgeschlossen",IF(OR($K488="Neu",$K488="Recherchiert",$K488=""),"Erstkontakt vorbereiten",IF($K488="Kontaktiert",IF($L488="","Datum eintragen",IF(TODAY()&gt;=$O488,"Follow-up 3 fällig",IF(TODAY()&gt;=$N488,"Follow-up 2 fällig",IF(TODAY()&gt;=$M488,"Follow-up 1 fällig","warten")))),IF($K488="Antwort","Antworten",IF($K488="Gespräch","Nachbereiten",IF($K488="Angebot","Angebot nachfassen","")))))))</f>
        <v/>
      </c>
      <c r="Q488" s="17"/>
      <c r="R488" s="13"/>
    </row>
    <row r="489" customFormat="false" ht="15" hidden="false" customHeight="tru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  <c r="J489" s="13"/>
      <c r="K489" s="12"/>
      <c r="L489" s="14"/>
      <c r="M489" s="15" t="str">
        <f aca="false">IF($L489="","",$L489+Einstellungen!$B$3)</f>
        <v/>
      </c>
      <c r="N489" s="15" t="str">
        <f aca="false">IF($L489="","",$L489+Einstellungen!$B$4)</f>
        <v/>
      </c>
      <c r="O489" s="15" t="str">
        <f aca="false">IF($L489="","",$L489+Einstellungen!$B$5)</f>
        <v/>
      </c>
      <c r="P489" s="16" t="str">
        <f aca="true">IF($B489="","",IF(OR($K489="Gewonnen",$K489="Verloren",$K489="Kein Interesse"),"abgeschlossen",IF(OR($K489="Neu",$K489="Recherchiert",$K489=""),"Erstkontakt vorbereiten",IF($K489="Kontaktiert",IF($L489="","Datum eintragen",IF(TODAY()&gt;=$O489,"Follow-up 3 fällig",IF(TODAY()&gt;=$N489,"Follow-up 2 fällig",IF(TODAY()&gt;=$M489,"Follow-up 1 fällig","warten")))),IF($K489="Antwort","Antworten",IF($K489="Gespräch","Nachbereiten",IF($K489="Angebot","Angebot nachfassen","")))))))</f>
        <v/>
      </c>
      <c r="Q489" s="17"/>
      <c r="R489" s="13"/>
    </row>
    <row r="490" customFormat="false" ht="15" hidden="false" customHeight="tru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  <c r="J490" s="13"/>
      <c r="K490" s="12"/>
      <c r="L490" s="14"/>
      <c r="M490" s="15" t="str">
        <f aca="false">IF($L490="","",$L490+Einstellungen!$B$3)</f>
        <v/>
      </c>
      <c r="N490" s="15" t="str">
        <f aca="false">IF($L490="","",$L490+Einstellungen!$B$4)</f>
        <v/>
      </c>
      <c r="O490" s="15" t="str">
        <f aca="false">IF($L490="","",$L490+Einstellungen!$B$5)</f>
        <v/>
      </c>
      <c r="P490" s="16" t="str">
        <f aca="true">IF($B490="","",IF(OR($K490="Gewonnen",$K490="Verloren",$K490="Kein Interesse"),"abgeschlossen",IF(OR($K490="Neu",$K490="Recherchiert",$K490=""),"Erstkontakt vorbereiten",IF($K490="Kontaktiert",IF($L490="","Datum eintragen",IF(TODAY()&gt;=$O490,"Follow-up 3 fällig",IF(TODAY()&gt;=$N490,"Follow-up 2 fällig",IF(TODAY()&gt;=$M490,"Follow-up 1 fällig","warten")))),IF($K490="Antwort","Antworten",IF($K490="Gespräch","Nachbereiten",IF($K490="Angebot","Angebot nachfassen","")))))))</f>
        <v/>
      </c>
      <c r="Q490" s="17"/>
      <c r="R490" s="13"/>
    </row>
    <row r="491" customFormat="false" ht="15" hidden="false" customHeight="tru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  <c r="J491" s="13"/>
      <c r="K491" s="12"/>
      <c r="L491" s="14"/>
      <c r="M491" s="15" t="str">
        <f aca="false">IF($L491="","",$L491+Einstellungen!$B$3)</f>
        <v/>
      </c>
      <c r="N491" s="15" t="str">
        <f aca="false">IF($L491="","",$L491+Einstellungen!$B$4)</f>
        <v/>
      </c>
      <c r="O491" s="15" t="str">
        <f aca="false">IF($L491="","",$L491+Einstellungen!$B$5)</f>
        <v/>
      </c>
      <c r="P491" s="16" t="str">
        <f aca="true">IF($B491="","",IF(OR($K491="Gewonnen",$K491="Verloren",$K491="Kein Interesse"),"abgeschlossen",IF(OR($K491="Neu",$K491="Recherchiert",$K491=""),"Erstkontakt vorbereiten",IF($K491="Kontaktiert",IF($L491="","Datum eintragen",IF(TODAY()&gt;=$O491,"Follow-up 3 fällig",IF(TODAY()&gt;=$N491,"Follow-up 2 fällig",IF(TODAY()&gt;=$M491,"Follow-up 1 fällig","warten")))),IF($K491="Antwort","Antworten",IF($K491="Gespräch","Nachbereiten",IF($K491="Angebot","Angebot nachfassen","")))))))</f>
        <v/>
      </c>
      <c r="Q491" s="17"/>
      <c r="R491" s="13"/>
    </row>
    <row r="492" customFormat="false" ht="15" hidden="false" customHeight="tru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  <c r="J492" s="13"/>
      <c r="K492" s="12"/>
      <c r="L492" s="14"/>
      <c r="M492" s="15" t="str">
        <f aca="false">IF($L492="","",$L492+Einstellungen!$B$3)</f>
        <v/>
      </c>
      <c r="N492" s="15" t="str">
        <f aca="false">IF($L492="","",$L492+Einstellungen!$B$4)</f>
        <v/>
      </c>
      <c r="O492" s="15" t="str">
        <f aca="false">IF($L492="","",$L492+Einstellungen!$B$5)</f>
        <v/>
      </c>
      <c r="P492" s="16" t="str">
        <f aca="true">IF($B492="","",IF(OR($K492="Gewonnen",$K492="Verloren",$K492="Kein Interesse"),"abgeschlossen",IF(OR($K492="Neu",$K492="Recherchiert",$K492=""),"Erstkontakt vorbereiten",IF($K492="Kontaktiert",IF($L492="","Datum eintragen",IF(TODAY()&gt;=$O492,"Follow-up 3 fällig",IF(TODAY()&gt;=$N492,"Follow-up 2 fällig",IF(TODAY()&gt;=$M492,"Follow-up 1 fällig","warten")))),IF($K492="Antwort","Antworten",IF($K492="Gespräch","Nachbereiten",IF($K492="Angebot","Angebot nachfassen","")))))))</f>
        <v/>
      </c>
      <c r="Q492" s="17"/>
      <c r="R492" s="13"/>
    </row>
    <row r="493" customFormat="false" ht="15" hidden="false" customHeight="tru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  <c r="J493" s="13"/>
      <c r="K493" s="12"/>
      <c r="L493" s="14"/>
      <c r="M493" s="15" t="str">
        <f aca="false">IF($L493="","",$L493+Einstellungen!$B$3)</f>
        <v/>
      </c>
      <c r="N493" s="15" t="str">
        <f aca="false">IF($L493="","",$L493+Einstellungen!$B$4)</f>
        <v/>
      </c>
      <c r="O493" s="15" t="str">
        <f aca="false">IF($L493="","",$L493+Einstellungen!$B$5)</f>
        <v/>
      </c>
      <c r="P493" s="16" t="str">
        <f aca="true">IF($B493="","",IF(OR($K493="Gewonnen",$K493="Verloren",$K493="Kein Interesse"),"abgeschlossen",IF(OR($K493="Neu",$K493="Recherchiert",$K493=""),"Erstkontakt vorbereiten",IF($K493="Kontaktiert",IF($L493="","Datum eintragen",IF(TODAY()&gt;=$O493,"Follow-up 3 fällig",IF(TODAY()&gt;=$N493,"Follow-up 2 fällig",IF(TODAY()&gt;=$M493,"Follow-up 1 fällig","warten")))),IF($K493="Antwort","Antworten",IF($K493="Gespräch","Nachbereiten",IF($K493="Angebot","Angebot nachfassen","")))))))</f>
        <v/>
      </c>
      <c r="Q493" s="17"/>
      <c r="R493" s="13"/>
    </row>
    <row r="494" customFormat="false" ht="15" hidden="false" customHeight="tru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  <c r="J494" s="13"/>
      <c r="K494" s="12"/>
      <c r="L494" s="14"/>
      <c r="M494" s="15" t="str">
        <f aca="false">IF($L494="","",$L494+Einstellungen!$B$3)</f>
        <v/>
      </c>
      <c r="N494" s="15" t="str">
        <f aca="false">IF($L494="","",$L494+Einstellungen!$B$4)</f>
        <v/>
      </c>
      <c r="O494" s="15" t="str">
        <f aca="false">IF($L494="","",$L494+Einstellungen!$B$5)</f>
        <v/>
      </c>
      <c r="P494" s="16" t="str">
        <f aca="true">IF($B494="","",IF(OR($K494="Gewonnen",$K494="Verloren",$K494="Kein Interesse"),"abgeschlossen",IF(OR($K494="Neu",$K494="Recherchiert",$K494=""),"Erstkontakt vorbereiten",IF($K494="Kontaktiert",IF($L494="","Datum eintragen",IF(TODAY()&gt;=$O494,"Follow-up 3 fällig",IF(TODAY()&gt;=$N494,"Follow-up 2 fällig",IF(TODAY()&gt;=$M494,"Follow-up 1 fällig","warten")))),IF($K494="Antwort","Antworten",IF($K494="Gespräch","Nachbereiten",IF($K494="Angebot","Angebot nachfassen","")))))))</f>
        <v/>
      </c>
      <c r="Q494" s="17"/>
      <c r="R494" s="13"/>
    </row>
    <row r="495" customFormat="false" ht="15" hidden="false" customHeight="tru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  <c r="J495" s="13"/>
      <c r="K495" s="12"/>
      <c r="L495" s="14"/>
      <c r="M495" s="15" t="str">
        <f aca="false">IF($L495="","",$L495+Einstellungen!$B$3)</f>
        <v/>
      </c>
      <c r="N495" s="15" t="str">
        <f aca="false">IF($L495="","",$L495+Einstellungen!$B$4)</f>
        <v/>
      </c>
      <c r="O495" s="15" t="str">
        <f aca="false">IF($L495="","",$L495+Einstellungen!$B$5)</f>
        <v/>
      </c>
      <c r="P495" s="16" t="str">
        <f aca="true">IF($B495="","",IF(OR($K495="Gewonnen",$K495="Verloren",$K495="Kein Interesse"),"abgeschlossen",IF(OR($K495="Neu",$K495="Recherchiert",$K495=""),"Erstkontakt vorbereiten",IF($K495="Kontaktiert",IF($L495="","Datum eintragen",IF(TODAY()&gt;=$O495,"Follow-up 3 fällig",IF(TODAY()&gt;=$N495,"Follow-up 2 fällig",IF(TODAY()&gt;=$M495,"Follow-up 1 fällig","warten")))),IF($K495="Antwort","Antworten",IF($K495="Gespräch","Nachbereiten",IF($K495="Angebot","Angebot nachfassen","")))))))</f>
        <v/>
      </c>
      <c r="Q495" s="17"/>
      <c r="R495" s="13"/>
    </row>
    <row r="496" customFormat="false" ht="15" hidden="false" customHeight="tru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  <c r="J496" s="13"/>
      <c r="K496" s="12"/>
      <c r="L496" s="14"/>
      <c r="M496" s="15" t="str">
        <f aca="false">IF($L496="","",$L496+Einstellungen!$B$3)</f>
        <v/>
      </c>
      <c r="N496" s="15" t="str">
        <f aca="false">IF($L496="","",$L496+Einstellungen!$B$4)</f>
        <v/>
      </c>
      <c r="O496" s="15" t="str">
        <f aca="false">IF($L496="","",$L496+Einstellungen!$B$5)</f>
        <v/>
      </c>
      <c r="P496" s="16" t="str">
        <f aca="true">IF($B496="","",IF(OR($K496="Gewonnen",$K496="Verloren",$K496="Kein Interesse"),"abgeschlossen",IF(OR($K496="Neu",$K496="Recherchiert",$K496=""),"Erstkontakt vorbereiten",IF($K496="Kontaktiert",IF($L496="","Datum eintragen",IF(TODAY()&gt;=$O496,"Follow-up 3 fällig",IF(TODAY()&gt;=$N496,"Follow-up 2 fällig",IF(TODAY()&gt;=$M496,"Follow-up 1 fällig","warten")))),IF($K496="Antwort","Antworten",IF($K496="Gespräch","Nachbereiten",IF($K496="Angebot","Angebot nachfassen","")))))))</f>
        <v/>
      </c>
      <c r="Q496" s="17"/>
      <c r="R496" s="13"/>
    </row>
    <row r="497" customFormat="false" ht="15" hidden="false" customHeight="tru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  <c r="J497" s="13"/>
      <c r="K497" s="12"/>
      <c r="L497" s="14"/>
      <c r="M497" s="15" t="str">
        <f aca="false">IF($L497="","",$L497+Einstellungen!$B$3)</f>
        <v/>
      </c>
      <c r="N497" s="15" t="str">
        <f aca="false">IF($L497="","",$L497+Einstellungen!$B$4)</f>
        <v/>
      </c>
      <c r="O497" s="15" t="str">
        <f aca="false">IF($L497="","",$L497+Einstellungen!$B$5)</f>
        <v/>
      </c>
      <c r="P497" s="16" t="str">
        <f aca="true">IF($B497="","",IF(OR($K497="Gewonnen",$K497="Verloren",$K497="Kein Interesse"),"abgeschlossen",IF(OR($K497="Neu",$K497="Recherchiert",$K497=""),"Erstkontakt vorbereiten",IF($K497="Kontaktiert",IF($L497="","Datum eintragen",IF(TODAY()&gt;=$O497,"Follow-up 3 fällig",IF(TODAY()&gt;=$N497,"Follow-up 2 fällig",IF(TODAY()&gt;=$M497,"Follow-up 1 fällig","warten")))),IF($K497="Antwort","Antworten",IF($K497="Gespräch","Nachbereiten",IF($K497="Angebot","Angebot nachfassen","")))))))</f>
        <v/>
      </c>
      <c r="Q497" s="17"/>
      <c r="R497" s="13"/>
    </row>
    <row r="498" customFormat="false" ht="15" hidden="false" customHeight="tru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  <c r="J498" s="13"/>
      <c r="K498" s="12"/>
      <c r="L498" s="14"/>
      <c r="M498" s="15" t="str">
        <f aca="false">IF($L498="","",$L498+Einstellungen!$B$3)</f>
        <v/>
      </c>
      <c r="N498" s="15" t="str">
        <f aca="false">IF($L498="","",$L498+Einstellungen!$B$4)</f>
        <v/>
      </c>
      <c r="O498" s="15" t="str">
        <f aca="false">IF($L498="","",$L498+Einstellungen!$B$5)</f>
        <v/>
      </c>
      <c r="P498" s="16" t="str">
        <f aca="true">IF($B498="","",IF(OR($K498="Gewonnen",$K498="Verloren",$K498="Kein Interesse"),"abgeschlossen",IF(OR($K498="Neu",$K498="Recherchiert",$K498=""),"Erstkontakt vorbereiten",IF($K498="Kontaktiert",IF($L498="","Datum eintragen",IF(TODAY()&gt;=$O498,"Follow-up 3 fällig",IF(TODAY()&gt;=$N498,"Follow-up 2 fällig",IF(TODAY()&gt;=$M498,"Follow-up 1 fällig","warten")))),IF($K498="Antwort","Antworten",IF($K498="Gespräch","Nachbereiten",IF($K498="Angebot","Angebot nachfassen","")))))))</f>
        <v/>
      </c>
      <c r="Q498" s="17"/>
      <c r="R498" s="13"/>
    </row>
    <row r="499" customFormat="false" ht="15" hidden="false" customHeight="tru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  <c r="J499" s="13"/>
      <c r="K499" s="12"/>
      <c r="L499" s="14"/>
      <c r="M499" s="15" t="str">
        <f aca="false">IF($L499="","",$L499+Einstellungen!$B$3)</f>
        <v/>
      </c>
      <c r="N499" s="15" t="str">
        <f aca="false">IF($L499="","",$L499+Einstellungen!$B$4)</f>
        <v/>
      </c>
      <c r="O499" s="15" t="str">
        <f aca="false">IF($L499="","",$L499+Einstellungen!$B$5)</f>
        <v/>
      </c>
      <c r="P499" s="16" t="str">
        <f aca="true">IF($B499="","",IF(OR($K499="Gewonnen",$K499="Verloren",$K499="Kein Interesse"),"abgeschlossen",IF(OR($K499="Neu",$K499="Recherchiert",$K499=""),"Erstkontakt vorbereiten",IF($K499="Kontaktiert",IF($L499="","Datum eintragen",IF(TODAY()&gt;=$O499,"Follow-up 3 fällig",IF(TODAY()&gt;=$N499,"Follow-up 2 fällig",IF(TODAY()&gt;=$M499,"Follow-up 1 fällig","warten")))),IF($K499="Antwort","Antworten",IF($K499="Gespräch","Nachbereiten",IF($K499="Angebot","Angebot nachfassen","")))))))</f>
        <v/>
      </c>
      <c r="Q499" s="17"/>
      <c r="R499" s="13"/>
    </row>
    <row r="500" customFormat="false" ht="15" hidden="false" customHeight="tru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  <c r="J500" s="13"/>
      <c r="K500" s="12"/>
      <c r="L500" s="14"/>
      <c r="M500" s="15" t="str">
        <f aca="false">IF($L500="","",$L500+Einstellungen!$B$3)</f>
        <v/>
      </c>
      <c r="N500" s="15" t="str">
        <f aca="false">IF($L500="","",$L500+Einstellungen!$B$4)</f>
        <v/>
      </c>
      <c r="O500" s="15" t="str">
        <f aca="false">IF($L500="","",$L500+Einstellungen!$B$5)</f>
        <v/>
      </c>
      <c r="P500" s="16" t="str">
        <f aca="true">IF($B500="","",IF(OR($K500="Gewonnen",$K500="Verloren",$K500="Kein Interesse"),"abgeschlossen",IF(OR($K500="Neu",$K500="Recherchiert",$K500=""),"Erstkontakt vorbereiten",IF($K500="Kontaktiert",IF($L500="","Datum eintragen",IF(TODAY()&gt;=$O500,"Follow-up 3 fällig",IF(TODAY()&gt;=$N500,"Follow-up 2 fällig",IF(TODAY()&gt;=$M500,"Follow-up 1 fällig","warten")))),IF($K500="Antwort","Antworten",IF($K500="Gespräch","Nachbereiten",IF($K500="Angebot","Angebot nachfassen","")))))))</f>
        <v/>
      </c>
      <c r="Q500" s="17"/>
      <c r="R500" s="13"/>
    </row>
    <row r="501" customFormat="false" ht="15" hidden="false" customHeight="tru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  <c r="J501" s="13"/>
      <c r="K501" s="12"/>
      <c r="L501" s="14"/>
      <c r="M501" s="15" t="str">
        <f aca="false">IF($L501="","",$L501+Einstellungen!$B$3)</f>
        <v/>
      </c>
      <c r="N501" s="15" t="str">
        <f aca="false">IF($L501="","",$L501+Einstellungen!$B$4)</f>
        <v/>
      </c>
      <c r="O501" s="15" t="str">
        <f aca="false">IF($L501="","",$L501+Einstellungen!$B$5)</f>
        <v/>
      </c>
      <c r="P501" s="16" t="str">
        <f aca="true">IF($B501="","",IF(OR($K501="Gewonnen",$K501="Verloren",$K501="Kein Interesse"),"abgeschlossen",IF(OR($K501="Neu",$K501="Recherchiert",$K501=""),"Erstkontakt vorbereiten",IF($K501="Kontaktiert",IF($L501="","Datum eintragen",IF(TODAY()&gt;=$O501,"Follow-up 3 fällig",IF(TODAY()&gt;=$N501,"Follow-up 2 fällig",IF(TODAY()&gt;=$M501,"Follow-up 1 fällig","warten")))),IF($K501="Antwort","Antworten",IF($K501="Gespräch","Nachbereiten",IF($K501="Angebot","Angebot nachfassen","")))))))</f>
        <v/>
      </c>
      <c r="Q501" s="17"/>
      <c r="R501" s="13"/>
    </row>
  </sheetData>
  <autoFilter ref="A1:R501"/>
  <conditionalFormatting sqref="P2:P501">
    <cfRule type="expression" priority="2" aboveAverage="0" equalAverage="0" bottom="0" percent="0" rank="0" text="" dxfId="7">
      <formula>RIGHT($P2,6)="fällig"</formula>
    </cfRule>
  </conditionalFormatting>
  <conditionalFormatting sqref="K2:K501">
    <cfRule type="expression" priority="3" aboveAverage="0" equalAverage="0" bottom="0" percent="0" rank="0" text="" dxfId="8">
      <formula>$K2="Gewonnen"</formula>
    </cfRule>
  </conditionalFormatting>
  <dataValidations count="2">
    <dataValidation allowBlank="true" errorStyle="stop" operator="between" showDropDown="false" showErrorMessage="false" showInputMessage="false" sqref="K2:K501" type="list">
      <formula1>Einstellungen!$D$3:$D$11</formula1>
      <formula2>0</formula2>
    </dataValidation>
    <dataValidation allowBlank="true" errorStyle="stop" operator="between" showDropDown="false" showErrorMessage="false" showInputMessage="false" sqref="G2:G501" type="list">
      <formula1>Einstellungen!$F$3:$F$10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4"/>
    <col collapsed="false" customWidth="true" hidden="false" outlineLevel="0" max="2" min="2" style="1" width="16"/>
  </cols>
  <sheetData>
    <row r="1" customFormat="false" ht="19.5" hidden="false" customHeight="true" outlineLevel="0" collapsed="false">
      <c r="A1" s="2" t="s">
        <v>41</v>
      </c>
    </row>
    <row r="3" customFormat="false" ht="15" hidden="false" customHeight="true" outlineLevel="0" collapsed="false">
      <c r="A3" s="5" t="s">
        <v>21</v>
      </c>
      <c r="B3" s="5" t="s">
        <v>42</v>
      </c>
    </row>
    <row r="4" customFormat="false" ht="15" hidden="false" customHeight="true" outlineLevel="0" collapsed="false">
      <c r="A4" s="18" t="s">
        <v>43</v>
      </c>
      <c r="B4" s="18" t="n">
        <f aca="false">COUNTIF(Pipeline!$K$2:$K$501,A4)</f>
        <v>0</v>
      </c>
    </row>
    <row r="5" customFormat="false" ht="15" hidden="false" customHeight="true" outlineLevel="0" collapsed="false">
      <c r="A5" s="18" t="s">
        <v>44</v>
      </c>
      <c r="B5" s="18" t="n">
        <f aca="false">COUNTIF(Pipeline!$K$2:$K$501,A5)</f>
        <v>0</v>
      </c>
    </row>
    <row r="6" customFormat="false" ht="15" hidden="false" customHeight="true" outlineLevel="0" collapsed="false">
      <c r="A6" s="18" t="s">
        <v>39</v>
      </c>
      <c r="B6" s="18" t="n">
        <f aca="false">COUNTIF(Pipeline!$K$2:$K$501,A6)</f>
        <v>1</v>
      </c>
    </row>
    <row r="7" customFormat="false" ht="15" hidden="false" customHeight="true" outlineLevel="0" collapsed="false">
      <c r="A7" s="18" t="s">
        <v>45</v>
      </c>
      <c r="B7" s="18" t="n">
        <f aca="false">COUNTIF(Pipeline!$K$2:$K$501,A7)</f>
        <v>0</v>
      </c>
    </row>
    <row r="8" customFormat="false" ht="15" hidden="false" customHeight="true" outlineLevel="0" collapsed="false">
      <c r="A8" s="18" t="s">
        <v>46</v>
      </c>
      <c r="B8" s="18" t="n">
        <f aca="false">COUNTIF(Pipeline!$K$2:$K$501,A8)</f>
        <v>0</v>
      </c>
    </row>
    <row r="9" customFormat="false" ht="15" hidden="false" customHeight="true" outlineLevel="0" collapsed="false">
      <c r="A9" s="18" t="s">
        <v>47</v>
      </c>
      <c r="B9" s="18" t="n">
        <f aca="false">COUNTIF(Pipeline!$K$2:$K$501,A9)</f>
        <v>0</v>
      </c>
    </row>
    <row r="10" customFormat="false" ht="15" hidden="false" customHeight="true" outlineLevel="0" collapsed="false">
      <c r="A10" s="18" t="s">
        <v>48</v>
      </c>
      <c r="B10" s="18" t="n">
        <f aca="false">COUNTIF(Pipeline!$K$2:$K$501,A10)</f>
        <v>0</v>
      </c>
    </row>
    <row r="11" customFormat="false" ht="15" hidden="false" customHeight="true" outlineLevel="0" collapsed="false">
      <c r="A11" s="18" t="s">
        <v>49</v>
      </c>
      <c r="B11" s="18" t="n">
        <f aca="false">COUNTIF(Pipeline!$K$2:$K$501,A11)</f>
        <v>0</v>
      </c>
    </row>
    <row r="12" customFormat="false" ht="15" hidden="false" customHeight="true" outlineLevel="0" collapsed="false">
      <c r="A12" s="18" t="s">
        <v>50</v>
      </c>
      <c r="B12" s="18" t="n">
        <f aca="false">COUNTIF(Pipeline!$K$2:$K$501,A12)</f>
        <v>0</v>
      </c>
    </row>
    <row r="13" customFormat="false" ht="15" hidden="false" customHeight="true" outlineLevel="0" collapsed="false">
      <c r="A13" s="19" t="s">
        <v>51</v>
      </c>
      <c r="B13" s="19" t="n">
        <f aca="false">SUM(B4:B12)</f>
        <v>1</v>
      </c>
    </row>
    <row r="14" customFormat="false" ht="15" hidden="false" customHeight="true" outlineLevel="0" collapsed="false">
      <c r="A14" s="5" t="s">
        <v>52</v>
      </c>
      <c r="B14" s="5" t="s">
        <v>53</v>
      </c>
    </row>
    <row r="15" customFormat="false" ht="15" hidden="false" customHeight="true" outlineLevel="0" collapsed="false">
      <c r="A15" s="18" t="s">
        <v>54</v>
      </c>
      <c r="B15" s="20" t="n">
        <f aca="false">COUNT(Pipeline!$L$2:$L$501)</f>
        <v>1</v>
      </c>
    </row>
    <row r="16" customFormat="false" ht="15" hidden="false" customHeight="true" outlineLevel="0" collapsed="false">
      <c r="A16" s="18" t="s">
        <v>55</v>
      </c>
      <c r="B16" s="20" t="n">
        <f aca="false">B7+B8+B9+B10+B12</f>
        <v>0</v>
      </c>
    </row>
    <row r="17" customFormat="false" ht="15" hidden="false" customHeight="true" outlineLevel="0" collapsed="false">
      <c r="A17" s="18" t="s">
        <v>56</v>
      </c>
      <c r="B17" s="21" t="n">
        <f aca="false">IFERROR(B16/B15,0)</f>
        <v>0</v>
      </c>
    </row>
    <row r="18" customFormat="false" ht="15" hidden="false" customHeight="true" outlineLevel="0" collapsed="false">
      <c r="A18" s="18" t="s">
        <v>57</v>
      </c>
      <c r="B18" s="20" t="n">
        <f aca="false">B10</f>
        <v>0</v>
      </c>
    </row>
    <row r="19" customFormat="false" ht="15" hidden="false" customHeight="true" outlineLevel="0" collapsed="false">
      <c r="A19" s="18" t="s">
        <v>58</v>
      </c>
      <c r="B19" s="21" t="n">
        <f aca="false">IFERROR(B18/B15,0)</f>
        <v>0</v>
      </c>
    </row>
    <row r="20" customFormat="false" ht="15" hidden="false" customHeight="true" outlineLevel="0" collapsed="false">
      <c r="A20" s="18" t="s">
        <v>59</v>
      </c>
      <c r="B20" s="22" t="n">
        <f aca="false">SUMIFS(Pipeline!$Q$2:$Q$501,Pipeline!$K$2:$K$501,"Angebot")</f>
        <v>0</v>
      </c>
    </row>
    <row r="21" customFormat="false" ht="15" hidden="false" customHeight="true" outlineLevel="0" collapsed="false">
      <c r="A21" s="18" t="s">
        <v>60</v>
      </c>
      <c r="B21" s="22" t="n">
        <f aca="false">SUMIFS(Pipeline!$Q$2:$Q$501,Pipeline!$K$2:$K$501,"Gewonnen")</f>
        <v>0</v>
      </c>
    </row>
    <row r="22" customFormat="false" ht="15" hidden="false" customHeight="true" outlineLevel="0" collapsed="false">
      <c r="A22" s="18" t="s">
        <v>61</v>
      </c>
      <c r="B22" s="20" t="n">
        <f aca="false">COUNTIF(Pipeline!$P$2:$P$501,"*fällig")</f>
        <v>1</v>
      </c>
    </row>
    <row r="24" customFormat="false" ht="15" hidden="false" customHeight="true" outlineLevel="0" collapsed="false">
      <c r="A24" s="2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4"/>
    <col collapsed="false" customWidth="true" hidden="false" outlineLevel="0" max="4" min="4" style="1" width="18"/>
    <col collapsed="false" customWidth="true" hidden="false" outlineLevel="0" max="5" min="5" style="1" width="4"/>
    <col collapsed="false" customWidth="true" hidden="false" outlineLevel="0" max="6" min="6" style="1" width="36"/>
  </cols>
  <sheetData>
    <row r="1" customFormat="false" ht="19.5" hidden="false" customHeight="true" outlineLevel="0" collapsed="false">
      <c r="A1" s="2" t="s">
        <v>63</v>
      </c>
    </row>
    <row r="2" customFormat="false" ht="15" hidden="false" customHeight="true" outlineLevel="0" collapsed="false">
      <c r="A2" s="5"/>
      <c r="B2" s="5"/>
      <c r="C2" s="5"/>
      <c r="D2" s="5" t="s">
        <v>21</v>
      </c>
      <c r="E2" s="5"/>
      <c r="F2" s="5" t="s">
        <v>17</v>
      </c>
    </row>
    <row r="3" customFormat="false" ht="15" hidden="false" customHeight="true" outlineLevel="0" collapsed="false">
      <c r="A3" s="1" t="s">
        <v>64</v>
      </c>
      <c r="B3" s="24" t="n">
        <v>3</v>
      </c>
      <c r="D3" s="1" t="s">
        <v>43</v>
      </c>
      <c r="F3" s="1" t="s">
        <v>35</v>
      </c>
    </row>
    <row r="4" customFormat="false" ht="15" hidden="false" customHeight="true" outlineLevel="0" collapsed="false">
      <c r="A4" s="1" t="s">
        <v>65</v>
      </c>
      <c r="B4" s="24" t="n">
        <v>7</v>
      </c>
      <c r="D4" s="1" t="s">
        <v>44</v>
      </c>
      <c r="F4" s="1" t="s">
        <v>66</v>
      </c>
    </row>
    <row r="5" customFormat="false" ht="15" hidden="false" customHeight="true" outlineLevel="0" collapsed="false">
      <c r="A5" s="1" t="s">
        <v>67</v>
      </c>
      <c r="B5" s="24" t="n">
        <v>14</v>
      </c>
      <c r="D5" s="1" t="s">
        <v>39</v>
      </c>
      <c r="F5" s="1" t="s">
        <v>68</v>
      </c>
    </row>
    <row r="6" customFormat="false" ht="15" hidden="false" customHeight="true" outlineLevel="0" collapsed="false">
      <c r="A6" s="23" t="s">
        <v>69</v>
      </c>
      <c r="D6" s="1" t="s">
        <v>45</v>
      </c>
      <c r="F6" s="1" t="s">
        <v>70</v>
      </c>
    </row>
    <row r="7" customFormat="false" ht="15" hidden="false" customHeight="true" outlineLevel="0" collapsed="false">
      <c r="D7" s="1" t="s">
        <v>46</v>
      </c>
      <c r="F7" s="1" t="s">
        <v>71</v>
      </c>
    </row>
    <row r="8" customFormat="false" ht="15" hidden="false" customHeight="true" outlineLevel="0" collapsed="false">
      <c r="D8" s="1" t="s">
        <v>47</v>
      </c>
      <c r="F8" s="1" t="s">
        <v>72</v>
      </c>
    </row>
    <row r="9" customFormat="false" ht="15" hidden="false" customHeight="true" outlineLevel="0" collapsed="false">
      <c r="D9" s="1" t="s">
        <v>48</v>
      </c>
      <c r="F9" s="1" t="s">
        <v>73</v>
      </c>
    </row>
    <row r="10" customFormat="false" ht="15" hidden="false" customHeight="true" outlineLevel="0" collapsed="false">
      <c r="D10" s="1" t="s">
        <v>49</v>
      </c>
      <c r="F10" s="1" t="s">
        <v>74</v>
      </c>
    </row>
    <row r="11" customFormat="false" ht="15" hidden="false" customHeight="true" outlineLevel="0" collapsed="false">
      <c r="D11" s="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6"/>
  </cols>
  <sheetData>
    <row r="1" customFormat="false" ht="19.5" hidden="false" customHeight="true" outlineLevel="0" collapsed="false">
      <c r="A1" s="2" t="s">
        <v>75</v>
      </c>
    </row>
    <row r="2" customFormat="false" ht="15" hidden="false" customHeight="true" outlineLevel="0" collapsed="false">
      <c r="A2" s="23" t="s">
        <v>76</v>
      </c>
    </row>
    <row r="4" customFormat="false" ht="15" hidden="false" customHeight="true" outlineLevel="0" collapsed="false">
      <c r="A4" s="5" t="s">
        <v>77</v>
      </c>
      <c r="B4" s="5" t="s">
        <v>53</v>
      </c>
    </row>
    <row r="5" customFormat="false" ht="15" hidden="false" customHeight="true" outlineLevel="0" collapsed="false">
      <c r="A5" s="18" t="s">
        <v>78</v>
      </c>
      <c r="B5" s="25" t="n">
        <v>20</v>
      </c>
    </row>
    <row r="6" customFormat="false" ht="15" hidden="false" customHeight="true" outlineLevel="0" collapsed="false">
      <c r="A6" s="18" t="s">
        <v>56</v>
      </c>
      <c r="B6" s="26" t="n">
        <v>0.08</v>
      </c>
    </row>
    <row r="7" customFormat="false" ht="15" hidden="false" customHeight="true" outlineLevel="0" collapsed="false">
      <c r="A7" s="18" t="s">
        <v>79</v>
      </c>
      <c r="B7" s="26" t="n">
        <v>0.5</v>
      </c>
    </row>
    <row r="8" customFormat="false" ht="15" hidden="false" customHeight="true" outlineLevel="0" collapsed="false">
      <c r="A8" s="18" t="s">
        <v>80</v>
      </c>
      <c r="B8" s="26" t="n">
        <v>0.7</v>
      </c>
    </row>
    <row r="9" customFormat="false" ht="15" hidden="false" customHeight="true" outlineLevel="0" collapsed="false">
      <c r="A9" s="18" t="s">
        <v>81</v>
      </c>
      <c r="B9" s="26" t="n">
        <v>0.35</v>
      </c>
    </row>
    <row r="10" customFormat="false" ht="15" hidden="false" customHeight="true" outlineLevel="0" collapsed="false">
      <c r="A10" s="18" t="s">
        <v>82</v>
      </c>
      <c r="B10" s="27" t="n">
        <v>2500</v>
      </c>
    </row>
    <row r="12" customFormat="false" ht="15" hidden="false" customHeight="true" outlineLevel="0" collapsed="false">
      <c r="A12" s="5" t="s">
        <v>83</v>
      </c>
      <c r="B12" s="5" t="s">
        <v>53</v>
      </c>
    </row>
    <row r="13" customFormat="false" ht="15" hidden="false" customHeight="true" outlineLevel="0" collapsed="false">
      <c r="A13" s="18" t="s">
        <v>84</v>
      </c>
      <c r="B13" s="28" t="n">
        <f aca="false">B6*B7*B8*B9</f>
        <v>0.0098</v>
      </c>
    </row>
    <row r="14" customFormat="false" ht="15" hidden="false" customHeight="true" outlineLevel="0" collapsed="false">
      <c r="A14" s="18" t="s">
        <v>85</v>
      </c>
      <c r="B14" s="20" t="n">
        <f aca="false">IFERROR(1/B13,0)</f>
        <v>102.040816326531</v>
      </c>
    </row>
    <row r="15" customFormat="false" ht="15" hidden="false" customHeight="true" outlineLevel="0" collapsed="false">
      <c r="A15" s="18" t="s">
        <v>86</v>
      </c>
      <c r="B15" s="29" t="n">
        <f aca="false">B5*B13</f>
        <v>0.196</v>
      </c>
    </row>
    <row r="16" customFormat="false" ht="15" hidden="false" customHeight="true" outlineLevel="0" collapsed="false">
      <c r="A16" s="18" t="s">
        <v>87</v>
      </c>
      <c r="B16" s="30" t="n">
        <f aca="false">IFERROR(1/B15,0)</f>
        <v>5.10204081632653</v>
      </c>
    </row>
    <row r="17" customFormat="false" ht="15" hidden="false" customHeight="true" outlineLevel="0" collapsed="false">
      <c r="A17" s="18" t="s">
        <v>88</v>
      </c>
      <c r="B17" s="22" t="n">
        <f aca="false">B15*B10*4.33</f>
        <v>2121.7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00"/>
  </cols>
  <sheetData>
    <row r="1" customFormat="false" ht="19.5" hidden="false" customHeight="true" outlineLevel="0" collapsed="false">
      <c r="A1" s="2" t="s">
        <v>89</v>
      </c>
    </row>
    <row r="2" customFormat="false" ht="15" hidden="false" customHeight="true" outlineLevel="0" collapsed="false">
      <c r="A2" s="23" t="s">
        <v>90</v>
      </c>
    </row>
    <row r="4" customFormat="false" ht="15" hidden="false" customHeight="true" outlineLevel="0" collapsed="false">
      <c r="A4" s="5" t="s">
        <v>91</v>
      </c>
      <c r="B4" s="5" t="s">
        <v>17</v>
      </c>
      <c r="C4" s="5" t="s">
        <v>92</v>
      </c>
    </row>
    <row r="5" customFormat="false" ht="210" hidden="false" customHeight="true" outlineLevel="0" collapsed="false">
      <c r="A5" s="3" t="s">
        <v>93</v>
      </c>
      <c r="B5" s="4" t="s">
        <v>35</v>
      </c>
      <c r="C5" s="4" t="s">
        <v>94</v>
      </c>
    </row>
    <row r="6" customFormat="false" ht="210" hidden="false" customHeight="true" outlineLevel="0" collapsed="false">
      <c r="A6" s="3" t="s">
        <v>95</v>
      </c>
      <c r="B6" s="4" t="s">
        <v>96</v>
      </c>
      <c r="C6" s="4" t="s">
        <v>97</v>
      </c>
    </row>
    <row r="7" customFormat="false" ht="60" hidden="false" customHeight="true" outlineLevel="0" collapsed="false">
      <c r="A7" s="3" t="s">
        <v>98</v>
      </c>
      <c r="B7" s="4" t="s">
        <v>99</v>
      </c>
      <c r="C7" s="4" t="s">
        <v>100</v>
      </c>
    </row>
    <row r="8" customFormat="false" ht="60" hidden="false" customHeight="true" outlineLevel="0" collapsed="false">
      <c r="A8" s="3" t="s">
        <v>101</v>
      </c>
      <c r="B8" s="4" t="s">
        <v>99</v>
      </c>
      <c r="C8" s="4" t="s">
        <v>102</v>
      </c>
    </row>
    <row r="9" customFormat="false" ht="60" hidden="false" customHeight="true" outlineLevel="0" collapsed="false">
      <c r="A9" s="3" t="s">
        <v>103</v>
      </c>
      <c r="B9" s="4" t="s">
        <v>99</v>
      </c>
      <c r="C9" s="4" t="s">
        <v>104</v>
      </c>
    </row>
    <row r="10" customFormat="false" ht="135" hidden="false" customHeight="true" outlineLevel="0" collapsed="false">
      <c r="A10" s="3" t="s">
        <v>105</v>
      </c>
      <c r="B10" s="4" t="s">
        <v>106</v>
      </c>
      <c r="C10" s="4" t="s">
        <v>107</v>
      </c>
    </row>
    <row r="11" customFormat="false" ht="60" hidden="false" customHeight="true" outlineLevel="0" collapsed="false">
      <c r="A11" s="3" t="s">
        <v>108</v>
      </c>
      <c r="B11" s="4" t="s">
        <v>99</v>
      </c>
      <c r="C11" s="4" t="s">
        <v>109</v>
      </c>
    </row>
    <row r="12" customFormat="false" ht="60" hidden="false" customHeight="true" outlineLevel="0" collapsed="false">
      <c r="A12" s="3" t="s">
        <v>110</v>
      </c>
      <c r="B12" s="4" t="s">
        <v>111</v>
      </c>
      <c r="C12" s="4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48"/>
    <col collapsed="false" customWidth="true" hidden="false" outlineLevel="0" max="4" min="4" style="1" width="44"/>
    <col collapsed="false" customWidth="true" hidden="false" outlineLevel="0" max="5" min="5" style="1" width="26"/>
    <col collapsed="false" customWidth="true" hidden="false" outlineLevel="0" max="6" min="6" style="1" width="34"/>
  </cols>
  <sheetData>
    <row r="1" customFormat="false" ht="19.5" hidden="false" customHeight="true" outlineLevel="0" collapsed="false">
      <c r="A1" s="2" t="s">
        <v>113</v>
      </c>
    </row>
    <row r="3" customFormat="false" ht="15" hidden="false" customHeight="true" outlineLevel="0" collapsed="false">
      <c r="A3" s="5" t="s">
        <v>114</v>
      </c>
      <c r="B3" s="5" t="s">
        <v>13</v>
      </c>
      <c r="C3" s="5" t="s">
        <v>115</v>
      </c>
      <c r="D3" s="5" t="s">
        <v>116</v>
      </c>
      <c r="E3" s="5" t="s">
        <v>117</v>
      </c>
      <c r="F3" s="5" t="s">
        <v>118</v>
      </c>
    </row>
    <row r="4" customFormat="false" ht="23.25" hidden="false" customHeight="true" outlineLevel="0" collapsed="false">
      <c r="A4" s="31" t="n">
        <v>1</v>
      </c>
      <c r="B4" s="31" t="s">
        <v>119</v>
      </c>
      <c r="C4" s="31" t="s">
        <v>120</v>
      </c>
      <c r="D4" s="31" t="s">
        <v>121</v>
      </c>
      <c r="E4" s="31" t="s">
        <v>122</v>
      </c>
      <c r="F4" s="31" t="s">
        <v>123</v>
      </c>
    </row>
    <row r="5" customFormat="false" ht="23.25" hidden="false" customHeight="true" outlineLevel="0" collapsed="false">
      <c r="A5" s="31" t="n">
        <v>1</v>
      </c>
      <c r="B5" s="31" t="s">
        <v>124</v>
      </c>
      <c r="C5" s="31" t="s">
        <v>125</v>
      </c>
      <c r="D5" s="31" t="s">
        <v>126</v>
      </c>
      <c r="E5" s="31" t="s">
        <v>127</v>
      </c>
      <c r="F5" s="31" t="s">
        <v>128</v>
      </c>
    </row>
    <row r="6" customFormat="false" ht="23.25" hidden="false" customHeight="true" outlineLevel="0" collapsed="false">
      <c r="A6" s="31" t="n">
        <v>2</v>
      </c>
      <c r="B6" s="31" t="s">
        <v>129</v>
      </c>
      <c r="C6" s="31" t="s">
        <v>130</v>
      </c>
      <c r="D6" s="31" t="s">
        <v>131</v>
      </c>
      <c r="E6" s="31" t="s">
        <v>132</v>
      </c>
      <c r="F6" s="31" t="s">
        <v>133</v>
      </c>
    </row>
    <row r="7" customFormat="false" ht="15" hidden="false" customHeight="true" outlineLevel="0" collapsed="false">
      <c r="A7" s="31" t="n">
        <v>2</v>
      </c>
      <c r="B7" s="31" t="s">
        <v>134</v>
      </c>
      <c r="C7" s="31" t="s">
        <v>135</v>
      </c>
      <c r="D7" s="31" t="s">
        <v>136</v>
      </c>
      <c r="E7" s="31" t="s">
        <v>137</v>
      </c>
      <c r="F7" s="31" t="s">
        <v>138</v>
      </c>
    </row>
    <row r="8" customFormat="false" ht="15" hidden="false" customHeight="true" outlineLevel="0" collapsed="false">
      <c r="A8" s="31" t="n">
        <v>2</v>
      </c>
      <c r="B8" s="31" t="s">
        <v>139</v>
      </c>
      <c r="C8" s="31" t="s">
        <v>140</v>
      </c>
      <c r="D8" s="31" t="s">
        <v>141</v>
      </c>
      <c r="E8" s="31" t="s">
        <v>142</v>
      </c>
      <c r="F8" s="31" t="s">
        <v>143</v>
      </c>
    </row>
    <row r="9" customFormat="false" ht="15" hidden="false" customHeight="true" outlineLevel="0" collapsed="false">
      <c r="A9" s="31" t="n">
        <v>3</v>
      </c>
      <c r="B9" s="31" t="s">
        <v>144</v>
      </c>
      <c r="C9" s="31" t="s">
        <v>145</v>
      </c>
      <c r="D9" s="31" t="s">
        <v>146</v>
      </c>
      <c r="E9" s="31" t="s">
        <v>147</v>
      </c>
      <c r="F9" s="31" t="s">
        <v>148</v>
      </c>
    </row>
    <row r="10" customFormat="false" ht="15" hidden="false" customHeight="true" outlineLevel="0" collapsed="false">
      <c r="A10" s="31" t="n">
        <v>3</v>
      </c>
      <c r="B10" s="31" t="s">
        <v>149</v>
      </c>
      <c r="C10" s="31" t="s">
        <v>150</v>
      </c>
      <c r="D10" s="31" t="s">
        <v>151</v>
      </c>
      <c r="E10" s="31" t="s">
        <v>152</v>
      </c>
      <c r="F10" s="31" t="s">
        <v>153</v>
      </c>
    </row>
    <row r="11" customFormat="false" ht="15" hidden="false" customHeight="true" outlineLevel="0" collapsed="false">
      <c r="A11" s="31" t="n">
        <v>3</v>
      </c>
      <c r="B11" s="31" t="s">
        <v>154</v>
      </c>
      <c r="C11" s="31" t="s">
        <v>155</v>
      </c>
      <c r="D11" s="31" t="s">
        <v>156</v>
      </c>
      <c r="E11" s="31" t="s">
        <v>157</v>
      </c>
      <c r="F11" s="31" t="s">
        <v>158</v>
      </c>
    </row>
    <row r="13" customFormat="false" ht="15" hidden="false" customHeight="true" outlineLevel="0" collapsed="false">
      <c r="A13" s="2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  <col collapsed="false" customWidth="true" hidden="false" outlineLevel="0" max="3" min="3" style="1" width="62"/>
  </cols>
  <sheetData>
    <row r="1" customFormat="false" ht="19.5" hidden="false" customHeight="true" outlineLevel="0" collapsed="false">
      <c r="A1" s="2" t="s">
        <v>160</v>
      </c>
    </row>
    <row r="2" customFormat="false" ht="15" hidden="false" customHeight="true" outlineLevel="0" collapsed="false">
      <c r="A2" s="23" t="s">
        <v>161</v>
      </c>
    </row>
    <row r="4" customFormat="false" ht="15" hidden="false" customHeight="true" outlineLevel="0" collapsed="false">
      <c r="A4" s="5" t="s">
        <v>162</v>
      </c>
      <c r="B4" s="5" t="s">
        <v>163</v>
      </c>
      <c r="C4" s="5" t="s">
        <v>164</v>
      </c>
    </row>
    <row r="5" customFormat="false" ht="48" hidden="false" customHeight="true" outlineLevel="0" collapsed="false">
      <c r="A5" s="32" t="s">
        <v>165</v>
      </c>
      <c r="B5" s="31" t="s">
        <v>166</v>
      </c>
      <c r="C5" s="31" t="s">
        <v>167</v>
      </c>
    </row>
    <row r="6" customFormat="false" ht="48" hidden="false" customHeight="true" outlineLevel="0" collapsed="false">
      <c r="A6" s="32" t="s">
        <v>168</v>
      </c>
      <c r="B6" s="31" t="s">
        <v>169</v>
      </c>
      <c r="C6" s="31" t="s">
        <v>170</v>
      </c>
    </row>
    <row r="7" customFormat="false" ht="48" hidden="false" customHeight="true" outlineLevel="0" collapsed="false">
      <c r="A7" s="32" t="s">
        <v>171</v>
      </c>
      <c r="B7" s="31" t="s">
        <v>172</v>
      </c>
      <c r="C7" s="31" t="s">
        <v>173</v>
      </c>
    </row>
    <row r="8" customFormat="false" ht="48" hidden="false" customHeight="true" outlineLevel="0" collapsed="false">
      <c r="A8" s="32" t="s">
        <v>174</v>
      </c>
      <c r="B8" s="31" t="s">
        <v>175</v>
      </c>
      <c r="C8" s="31" t="s">
        <v>176</v>
      </c>
    </row>
    <row r="9" customFormat="false" ht="48" hidden="false" customHeight="true" outlineLevel="0" collapsed="false">
      <c r="A9" s="32" t="s">
        <v>72</v>
      </c>
      <c r="B9" s="31" t="s">
        <v>177</v>
      </c>
      <c r="C9" s="31" t="s">
        <v>178</v>
      </c>
    </row>
    <row r="10" customFormat="false" ht="48" hidden="false" customHeight="true" outlineLevel="0" collapsed="false">
      <c r="A10" s="32" t="s">
        <v>179</v>
      </c>
      <c r="B10" s="31" t="s">
        <v>180</v>
      </c>
      <c r="C10" s="31" t="s">
        <v>181</v>
      </c>
    </row>
    <row r="11" customFormat="false" ht="48" hidden="false" customHeight="true" outlineLevel="0" collapsed="false">
      <c r="A11" s="32" t="s">
        <v>182</v>
      </c>
      <c r="B11" s="31" t="s">
        <v>183</v>
      </c>
      <c r="C11" s="31" t="s">
        <v>184</v>
      </c>
    </row>
    <row r="12" customFormat="false" ht="48" hidden="false" customHeight="true" outlineLevel="0" collapsed="false">
      <c r="A12" s="32" t="s">
        <v>185</v>
      </c>
      <c r="B12" s="31" t="s">
        <v>186</v>
      </c>
      <c r="C12" s="31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56"/>
  </cols>
  <sheetData>
    <row r="1" customFormat="false" ht="19.5" hidden="false" customHeight="true" outlineLevel="0" collapsed="false">
      <c r="A1" s="2" t="s">
        <v>188</v>
      </c>
    </row>
    <row r="2" customFormat="false" ht="15" hidden="false" customHeight="true" outlineLevel="0" collapsed="false">
      <c r="A2" s="23" t="s">
        <v>189</v>
      </c>
    </row>
    <row r="3" customFormat="false" ht="15" hidden="false" customHeight="true" outlineLevel="0" collapsed="false">
      <c r="A3" s="1" t="s">
        <v>190</v>
      </c>
      <c r="B3" s="24" t="s">
        <v>191</v>
      </c>
    </row>
    <row r="5" customFormat="false" ht="15" hidden="false" customHeight="true" outlineLevel="0" collapsed="false">
      <c r="A5" s="5" t="s">
        <v>192</v>
      </c>
      <c r="B5" s="5" t="s">
        <v>193</v>
      </c>
      <c r="C5" s="5" t="s">
        <v>194</v>
      </c>
      <c r="D5" s="5" t="s">
        <v>195</v>
      </c>
    </row>
    <row r="6" customFormat="false" ht="15" hidden="false" customHeight="true" outlineLevel="0" collapsed="false">
      <c r="A6" s="18" t="s">
        <v>196</v>
      </c>
      <c r="B6" s="18" t="s">
        <v>197</v>
      </c>
      <c r="C6" s="24" t="n">
        <v>1</v>
      </c>
      <c r="D6" s="33"/>
    </row>
    <row r="7" customFormat="false" ht="15" hidden="false" customHeight="true" outlineLevel="0" collapsed="false">
      <c r="A7" s="18" t="s">
        <v>198</v>
      </c>
      <c r="B7" s="18" t="s">
        <v>199</v>
      </c>
      <c r="C7" s="24" t="n">
        <v>0</v>
      </c>
      <c r="D7" s="33"/>
    </row>
    <row r="8" customFormat="false" ht="15" hidden="false" customHeight="true" outlineLevel="0" collapsed="false">
      <c r="A8" s="18" t="s">
        <v>200</v>
      </c>
      <c r="B8" s="18" t="s">
        <v>201</v>
      </c>
      <c r="C8" s="24" t="n">
        <v>0</v>
      </c>
      <c r="D8" s="33" t="s">
        <v>202</v>
      </c>
    </row>
    <row r="9" customFormat="false" ht="15" hidden="false" customHeight="true" outlineLevel="0" collapsed="false">
      <c r="A9" s="18" t="s">
        <v>203</v>
      </c>
      <c r="B9" s="18" t="s">
        <v>204</v>
      </c>
      <c r="C9" s="24" t="n">
        <v>1</v>
      </c>
      <c r="D9" s="33"/>
    </row>
    <row r="10" customFormat="false" ht="15" hidden="false" customHeight="true" outlineLevel="0" collapsed="false">
      <c r="A10" s="18" t="s">
        <v>205</v>
      </c>
      <c r="B10" s="18" t="s">
        <v>206</v>
      </c>
      <c r="C10" s="24" t="n">
        <v>1</v>
      </c>
      <c r="D10" s="33"/>
    </row>
    <row r="11" customFormat="false" ht="15" hidden="false" customHeight="true" outlineLevel="0" collapsed="false">
      <c r="A11" s="18" t="s">
        <v>207</v>
      </c>
      <c r="B11" s="18" t="s">
        <v>208</v>
      </c>
      <c r="C11" s="24" t="n">
        <v>0</v>
      </c>
      <c r="D11" s="33"/>
    </row>
    <row r="12" customFormat="false" ht="15" hidden="false" customHeight="true" outlineLevel="0" collapsed="false">
      <c r="A12" s="18" t="s">
        <v>209</v>
      </c>
      <c r="B12" s="18" t="s">
        <v>210</v>
      </c>
      <c r="C12" s="24" t="n">
        <v>2</v>
      </c>
      <c r="D12" s="33"/>
    </row>
    <row r="13" customFormat="false" ht="15" hidden="false" customHeight="true" outlineLevel="0" collapsed="false">
      <c r="A13" s="18" t="s">
        <v>211</v>
      </c>
      <c r="B13" s="18" t="s">
        <v>212</v>
      </c>
      <c r="C13" s="24" t="n">
        <v>1</v>
      </c>
      <c r="D13" s="33"/>
    </row>
    <row r="14" customFormat="false" ht="15" hidden="false" customHeight="true" outlineLevel="0" collapsed="false">
      <c r="A14" s="18" t="s">
        <v>213</v>
      </c>
      <c r="B14" s="18" t="s">
        <v>214</v>
      </c>
      <c r="C14" s="24" t="n">
        <v>1</v>
      </c>
      <c r="D14" s="33"/>
    </row>
    <row r="15" customFormat="false" ht="15" hidden="false" customHeight="true" outlineLevel="0" collapsed="false">
      <c r="A15" s="18" t="s">
        <v>215</v>
      </c>
      <c r="B15" s="18" t="s">
        <v>216</v>
      </c>
      <c r="C15" s="24" t="n">
        <v>0</v>
      </c>
      <c r="D15" s="33"/>
    </row>
    <row r="17" customFormat="false" ht="15" hidden="false" customHeight="true" outlineLevel="0" collapsed="false">
      <c r="A17" s="19" t="s">
        <v>217</v>
      </c>
      <c r="C17" s="19" t="n">
        <f aca="false">SUM(C6:C15)</f>
        <v>7</v>
      </c>
    </row>
    <row r="18" customFormat="false" ht="15" hidden="false" customHeight="true" outlineLevel="0" collapsed="false">
      <c r="A18" s="19" t="s">
        <v>218</v>
      </c>
      <c r="C18" s="19" t="str">
        <f aca="false">IF(C17&lt;=8,"viel Potenzial",IF(C17&lt;=14,"solide Basis, Details verbessern","bereits stark"))</f>
        <v>viel Potenzial</v>
      </c>
    </row>
    <row r="19" customFormat="false" ht="15" hidden="false" customHeight="true" outlineLevel="0" collapsed="false">
      <c r="A19" s="19" t="s">
        <v>219</v>
      </c>
      <c r="C19" s="18" t="str">
        <f aca="false">IFERROR(INDEX(A6:A15,MATCH(MIN(C6:C15),C6:C15,0)),"")</f>
        <v>Erster Bildschirm sagt klar, was und für wen</v>
      </c>
    </row>
    <row r="21" customFormat="false" ht="15" hidden="false" customHeight="true" outlineLevel="0" collapsed="false">
      <c r="A21" s="23" t="s">
        <v>220</v>
      </c>
    </row>
  </sheetData>
  <dataValidations count="1">
    <dataValidation allowBlank="true" errorStyle="stop" operator="between" showDropDown="false" showErrorMessage="false" showInputMessage="false" sqref="C6:C15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2026-10-18T14:28:23Z</dcterms:created>
  <dc:creator>openpyxl</dc:creator>
  <dc:description/>
  <dc:language>en-US</dc:language>
  <cp:lastModifiedBy/>
  <dcterms:modified xsi:type="dcterms:W3CDTF">2026-10-18T15:56:03Z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